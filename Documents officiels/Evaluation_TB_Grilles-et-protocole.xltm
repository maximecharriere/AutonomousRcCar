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827" codeName="{3D1A710C-6663-3D7B-7F91-EC182F24A4BC}"/>
  <workbookPr codeName="ThisWorkbook" autoCompressPictures="0"/>
  <mc:AlternateContent xmlns:mc="http://schemas.openxmlformats.org/markup-compatibility/2006">
    <mc:Choice Requires="x15">
      <x15ac:absPath xmlns:x15ac="http://schemas.microsoft.com/office/spreadsheetml/2010/11/ac" url="\\eistore3\dept-tin\Modeles_TIN\"/>
    </mc:Choice>
  </mc:AlternateContent>
  <xr:revisionPtr revIDLastSave="0" documentId="8_{23995C3E-F2E2-47F2-87EF-4102594AC988}" xr6:coauthVersionLast="37" xr6:coauthVersionMax="37" xr10:uidLastSave="{00000000-0000-0000-0000-000000000000}"/>
  <bookViews>
    <workbookView xWindow="0" yWindow="0" windowWidth="24000" windowHeight="9885" xr2:uid="{00000000-000D-0000-FFFF-FFFF00000000}"/>
  </bookViews>
  <sheets>
    <sheet name="Marche à suivre" sheetId="6" r:id="rId1"/>
    <sheet name="Grille d'évaluation" sheetId="1" r:id="rId2"/>
    <sheet name="Évaluation orale Enseignant·e" sheetId="3" r:id="rId3"/>
    <sheet name="Évaluation orale Expert·e" sheetId="4" r:id="rId4"/>
    <sheet name="Protocole d'évaluation orale" sheetId="5" r:id="rId5"/>
    <sheet name="Acronymes" sheetId="2" r:id="rId6"/>
  </sheets>
  <definedNames>
    <definedName name="_xlnm.Print_Titles" localSheetId="0">'Marche à suivre'!$1:$1</definedName>
    <definedName name="_xlnm.Print_Area" localSheetId="1">'Grille d''évaluation'!$A$1:$Q$54</definedName>
  </definedNames>
  <calcPr calcId="179021"/>
  <extLst>
    <ext xmlns:mx="http://schemas.microsoft.com/office/mac/excel/2008/main" uri="{7523E5D3-25F3-A5E0-1632-64F254C22452}">
      <mx:ArchID Flags="2"/>
    </ext>
  </extLst>
</workbook>
</file>

<file path=xl/calcChain.xml><?xml version="1.0" encoding="utf-8"?>
<calcChain xmlns="http://schemas.openxmlformats.org/spreadsheetml/2006/main">
  <c r="C7" i="5" l="1"/>
  <c r="C6" i="5"/>
  <c r="C5" i="5"/>
  <c r="C4" i="5"/>
  <c r="D76" i="4" l="1"/>
  <c r="D78" i="4" s="1"/>
  <c r="C76" i="4"/>
  <c r="C78" i="4" s="1"/>
  <c r="P25" i="1" s="1"/>
  <c r="B7" i="4"/>
  <c r="B6" i="4"/>
  <c r="B5" i="4"/>
  <c r="B4" i="4"/>
  <c r="B7" i="3"/>
  <c r="B6" i="3"/>
  <c r="B5" i="3"/>
  <c r="C76" i="3"/>
  <c r="C78" i="3" s="1"/>
  <c r="N25" i="1" s="1"/>
  <c r="D76" i="3"/>
  <c r="D78" i="3" s="1"/>
  <c r="B4" i="3"/>
  <c r="Q16" i="1" l="1"/>
  <c r="Q19" i="1"/>
  <c r="Q21" i="1"/>
  <c r="Q23" i="1"/>
  <c r="Q25" i="1"/>
  <c r="L28" i="1"/>
  <c r="Q28" i="1" l="1"/>
  <c r="C9"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Valérie Bourquin</author>
  </authors>
  <commentList>
    <comment ref="C3" authorId="0" shapeId="0" xr:uid="{00000000-0006-0000-0000-000001000000}">
      <text>
        <r>
          <rPr>
            <sz val="9"/>
            <color indexed="81"/>
            <rFont val="Calibri Light"/>
            <family val="2"/>
          </rPr>
          <t>Ces données sont reportées automatiquement sur les autres onglets.</t>
        </r>
      </text>
    </comment>
    <comment ref="C7" authorId="0" shapeId="0" xr:uid="{00000000-0006-0000-0000-000002000000}">
      <text>
        <r>
          <rPr>
            <sz val="9"/>
            <color indexed="81"/>
            <rFont val="Calibri Light"/>
            <family val="2"/>
          </rPr>
          <t>Pour les imprimer simultanément, sélectionnez les 3 onglets en maintenant la touche "Shift"</t>
        </r>
      </text>
    </comment>
    <comment ref="C10" authorId="0" shapeId="0" xr:uid="{00000000-0006-0000-0000-000003000000}">
      <text>
        <r>
          <rPr>
            <sz val="9"/>
            <color indexed="81"/>
            <rFont val="Calibri Light"/>
            <family val="2"/>
          </rPr>
          <t>Toutes les moyennes sont calculées automatiquement.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Valérie Bourquin</author>
  </authors>
  <commentList>
    <comment ref="L13" authorId="0" shapeId="0" xr:uid="{00000000-0006-0000-0100-000001000000}">
      <text>
        <r>
          <rPr>
            <sz val="10"/>
            <color indexed="81"/>
            <rFont val="Calibri Light"/>
            <family val="2"/>
          </rPr>
          <t>Veuillez saisir les pourcentages en décimales</t>
        </r>
      </text>
    </comment>
    <comment ref="P16" authorId="0" shapeId="0" xr:uid="{00000000-0006-0000-0100-000002000000}">
      <text>
        <r>
          <rPr>
            <sz val="10"/>
            <color indexed="81"/>
            <rFont val="Calibri Light"/>
            <family val="2"/>
          </rPr>
          <t>Pas de note de l'expert.e pour ce point</t>
        </r>
      </text>
    </comment>
    <comment ref="P19" authorId="0" shapeId="0" xr:uid="{00000000-0006-0000-0100-000003000000}">
      <text>
        <r>
          <rPr>
            <sz val="10"/>
            <color indexed="81"/>
            <rFont val="Calibri Light"/>
            <family val="2"/>
          </rPr>
          <t>Pas de note de l'expert.e pour ce point</t>
        </r>
      </text>
    </comment>
    <comment ref="Q29" authorId="0" shapeId="0" xr:uid="{00000000-0006-0000-0100-000004000000}">
      <text>
        <r>
          <rPr>
            <sz val="10"/>
            <color indexed="81"/>
            <rFont val="Calibri Light"/>
            <family val="2"/>
          </rPr>
          <t>Veuillez</t>
        </r>
        <r>
          <rPr>
            <b/>
            <sz val="10"/>
            <color indexed="81"/>
            <rFont val="Calibri Light"/>
            <family val="2"/>
          </rPr>
          <t xml:space="preserve"> saisir la note finale à la main</t>
        </r>
        <r>
          <rPr>
            <sz val="10"/>
            <color indexed="81"/>
            <rFont val="Calibri Light"/>
            <family val="2"/>
          </rPr>
          <t xml:space="preserve"> après impression. Merci.</t>
        </r>
      </text>
    </comment>
  </commentList>
</comments>
</file>

<file path=xl/sharedStrings.xml><?xml version="1.0" encoding="utf-8"?>
<sst xmlns="http://schemas.openxmlformats.org/spreadsheetml/2006/main" count="190" uniqueCount="140">
  <si>
    <t>Critères d'évaluation</t>
  </si>
  <si>
    <t>Note finale</t>
  </si>
  <si>
    <t>Les travaux des étudiants sont appréciés selon l'échelle suivante :</t>
  </si>
  <si>
    <t>4.3 - 4.7  =  D  /  satisfaisant</t>
  </si>
  <si>
    <t>4.0 - 4.2  =  E  /  passable</t>
  </si>
  <si>
    <t>1.0 - 3.4  =  F  /  échec</t>
  </si>
  <si>
    <t>3.5 - 3.9  =  FX / échec</t>
  </si>
  <si>
    <t>(toutes les notes au dixième de point)</t>
  </si>
  <si>
    <t>1. Qualité de la revue de projet et/ou du rapport intermédiaire (état du projet, décomposition, évaluation comparative des solutions, spécifications détaillées, planification, organisation de la documentation)</t>
  </si>
  <si>
    <t>2. Déroulement et apport personnel (gestion du temps et des imprévus, indépendance, initiative, assiduité)</t>
  </si>
  <si>
    <t>3. Qualité du rapport final et de la documentation (exhaustivité des informations, clarté de rédaction et de présentation, synthèse)</t>
  </si>
  <si>
    <t>5. Qualité de la défense (connaissance du sujet et du domaine concerné, clarté, qualité du support visuel, capacité de vulgarisation, conviction, pertinence du propos)</t>
  </si>
  <si>
    <t>min. 10%</t>
  </si>
  <si>
    <t>min. 15%</t>
  </si>
  <si>
    <t>min. 20%</t>
  </si>
  <si>
    <t>Les critères retenus et la dotation en % sont indiqués sous chiffres 1 à 5.</t>
  </si>
  <si>
    <t>4. Qualité de travail (respect du cahier des charges et de la planification, pertinence technique et scientifique des résultats obtenus, innovation et créativité, tests)</t>
  </si>
  <si>
    <t>non</t>
  </si>
  <si>
    <t>ü</t>
  </si>
  <si>
    <t>Échelle d'évaluation</t>
  </si>
  <si>
    <t>5.8 - 6.0  =  A  / excellent</t>
  </si>
  <si>
    <t>5.3 - 5.7  =  B  / très bien</t>
  </si>
  <si>
    <t>4.8 - 5.2  =  C  / bien</t>
  </si>
  <si>
    <t>Oui</t>
  </si>
  <si>
    <t xml:space="preserve">Non  </t>
  </si>
  <si>
    <t>Département TIN</t>
  </si>
  <si>
    <t>Titre du TB :</t>
  </si>
  <si>
    <t>Filière</t>
  </si>
  <si>
    <t>Orientation</t>
  </si>
  <si>
    <t>IGIS</t>
  </si>
  <si>
    <t>SYND</t>
  </si>
  <si>
    <t>EBA</t>
  </si>
  <si>
    <t>THI</t>
  </si>
  <si>
    <t>THO</t>
  </si>
  <si>
    <t>EAI</t>
  </si>
  <si>
    <t>EEM</t>
  </si>
  <si>
    <t>EN</t>
  </si>
  <si>
    <t>MI</t>
  </si>
  <si>
    <t>SIC</t>
  </si>
  <si>
    <t>É V A L U A T I O N   D U   T R A V A I L   D E   B A C H E L O R</t>
  </si>
  <si>
    <t xml:space="preserve">    É v a l u a t i o n   g l o b a l e (calcul automatique)</t>
  </si>
  <si>
    <t xml:space="preserve">  É v a l u a t i o n   d é f i n i t i v e</t>
  </si>
  <si>
    <t>Évaluation intermédiaire</t>
  </si>
  <si>
    <t>Évaluation en fin de projet</t>
  </si>
  <si>
    <t>Remarques éventuelles ou justification en cas d'échec ou de divergences graves entre l'enseignant.e responsable et l'expert.e</t>
  </si>
  <si>
    <r>
      <t xml:space="preserve">Décision : </t>
    </r>
    <r>
      <rPr>
        <sz val="12"/>
        <rFont val="Calibri"/>
        <family val="2"/>
      </rPr>
      <t>Le jury de soutenance autorise la diffusion sur la plateforme</t>
    </r>
  </si>
  <si>
    <r>
      <rPr>
        <sz val="12"/>
        <rFont val="Calibri"/>
        <family val="2"/>
      </rPr>
      <t>Félicitations du jury</t>
    </r>
    <r>
      <rPr>
        <sz val="12"/>
        <rFont val="Calibri Light"/>
        <family val="2"/>
      </rPr>
      <t xml:space="preserve"> (cocher si oui)</t>
    </r>
  </si>
  <si>
    <r>
      <rPr>
        <sz val="12"/>
        <rFont val="Calibri"/>
        <family val="2"/>
      </rPr>
      <t>Proposition de prix</t>
    </r>
    <r>
      <rPr>
        <b/>
        <sz val="12"/>
        <rFont val="Calibri Light"/>
        <family val="2"/>
      </rPr>
      <t xml:space="preserve"> </t>
    </r>
    <r>
      <rPr>
        <sz val="12"/>
        <rFont val="Calibri Light"/>
        <family val="2"/>
      </rPr>
      <t>(cocher si oui)</t>
    </r>
  </si>
  <si>
    <r>
      <t xml:space="preserve">Pondération
globale
</t>
    </r>
    <r>
      <rPr>
        <sz val="10"/>
        <color indexed="12"/>
        <rFont val="Calibri Light"/>
        <family val="2"/>
      </rPr>
      <t>(% min.)</t>
    </r>
  </si>
  <si>
    <t>Maîtrise de l'expression orale (20 points)</t>
  </si>
  <si>
    <t>S'exprimer de façon maîtrisée en s'adressant à un auditoire</t>
  </si>
  <si>
    <t>Employer un vocabulaire précis et professionnel</t>
  </si>
  <si>
    <t>Utiliser le bon ton, faire vivre l'exposé oral</t>
  </si>
  <si>
    <t>Faire preuve d'une attitude adéquate (manière de parler, ponctualité, niveau de préparation)</t>
  </si>
  <si>
    <t>Gérer le temps imparti à l'exposé oral</t>
  </si>
  <si>
    <t>Maîtrise du sujet présenté (30 points)</t>
  </si>
  <si>
    <t>Structurer son exposé</t>
  </si>
  <si>
    <t>Présenter et justifier sa démarche (méthodologie)</t>
  </si>
  <si>
    <t>Présenter des diapositives de qualité</t>
  </si>
  <si>
    <t>Présenter son travail ou un élément de son travail efficacement</t>
  </si>
  <si>
    <t>Exprimer les connaissances/compétences acquises durant le projet</t>
  </si>
  <si>
    <t>Répondre de manière argumentée et pertinente aux questions</t>
  </si>
  <si>
    <t>Commentaires globaux</t>
  </si>
  <si>
    <t>Total intermédiaire</t>
  </si>
  <si>
    <t>10 points de présence</t>
  </si>
  <si>
    <t>Points</t>
  </si>
  <si>
    <t>Max.</t>
  </si>
  <si>
    <t>Date et signatures du jury :</t>
  </si>
  <si>
    <t>Nombre de points au total</t>
  </si>
  <si>
    <t>Prénom Nom</t>
  </si>
  <si>
    <t>Titre</t>
  </si>
  <si>
    <t>Protocole d'évaluation orale</t>
  </si>
  <si>
    <t>Note de la soutenance :</t>
  </si>
  <si>
    <t>Rappel des principes relatifs à la prise de notes du jury</t>
  </si>
  <si>
    <t>Le présent document porte sur le déroulement et l'évaluation de la soutenance du TB uniquement.</t>
  </si>
  <si>
    <t>Une prise de note abrégée ou en style télégraphique est suffisante.</t>
  </si>
  <si>
    <t>Remarques sur le déroulement de la soutenance (si nécessaire)</t>
  </si>
  <si>
    <t>•</t>
  </si>
  <si>
    <t>3. Évaluation globale de la soutenance</t>
  </si>
  <si>
    <t>À l'issue de la défense, cette feuille d'évaluation doit être complétée, signée et remise sans délai au secrétariat TIN, accompagnée du protocole d'évaluation orale</t>
  </si>
  <si>
    <t>À l'issue de la défense, ce protocole doit être complété, signé et remis sans délai au secrétariat TIN, accompagné de la grille d'évaluation</t>
  </si>
  <si>
    <t>Protocole d'évaluation orale, suite</t>
  </si>
  <si>
    <t>Étudiant·e :</t>
  </si>
  <si>
    <t>Enseignant·e responsable :</t>
  </si>
  <si>
    <t>Expert·e :</t>
  </si>
  <si>
    <t>Enseignant·e</t>
  </si>
  <si>
    <t>Expert·e</t>
  </si>
  <si>
    <t>Date et signature de l'enseignant·e responsable :</t>
  </si>
  <si>
    <t>Date et signature de l'expert·e :</t>
  </si>
  <si>
    <t>L'expert·e et l'enseignant·e donnent une note commune au travail de bachelor.</t>
  </si>
  <si>
    <r>
      <rPr>
        <sz val="12"/>
        <rFont val="Calibri"/>
        <family val="2"/>
      </rPr>
      <t xml:space="preserve">Diffusion du TB </t>
    </r>
    <r>
      <rPr>
        <sz val="12"/>
        <rFont val="Calibri Light"/>
        <family val="2"/>
      </rPr>
      <t xml:space="preserve">
</t>
    </r>
    <r>
      <rPr>
        <sz val="10"/>
        <rFont val="Calibri Light"/>
        <family val="2"/>
      </rPr>
      <t>Par défaut, les travaux de bachelor non-confidentiels ayant une note égale ou supérieure à 5 sont diffusés en pdf sur la plateforme de consultation des TB : 
tb.heig-vd.ch. Le jury a le choix de ne pas appliquer cette règle en cochant la case correspondante.</t>
    </r>
  </si>
  <si>
    <t>Soutenance orale du travail de Bachelor
Grille d'évaluation de l'enseignant·e</t>
  </si>
  <si>
    <t>Soutenance orale du travail de Bachelor
Grille d'évaluation de l'expert·e</t>
  </si>
  <si>
    <t>Porter un regard critique sur sa production individuelle, s'autoévaluer</t>
  </si>
  <si>
    <t>1. Appréciation de la présentation orale de l'étudiant·e (points positifs et négatifs)</t>
  </si>
  <si>
    <t>2. Questions du jury et qualifications des réponses de l'étudiant·e (points positifs et négatifs)</t>
  </si>
  <si>
    <t>Étape</t>
  </si>
  <si>
    <t>Quand</t>
  </si>
  <si>
    <t>Visuel</t>
  </si>
  <si>
    <t>Lors de l'évaluation intérmédiaire
(au plus tard avant la soutenance)</t>
  </si>
  <si>
    <t>Modifiez la pondération (% à saisir en décimales) pour que le total affiche 100 %</t>
  </si>
  <si>
    <t>Saisissez la note intermédiaire</t>
  </si>
  <si>
    <t>Avant la soutenance</t>
  </si>
  <si>
    <t>Après la soutenance</t>
  </si>
  <si>
    <t>Complétez les notes de la grille d'évaluation (sauf évaluation définitive, à saisir manuellement)</t>
  </si>
  <si>
    <t>Imprimez la grille d'évaluation (à compléter dans tous les cas sur le fichier) ainsi que les onglets concernant l'évaluation orale (sauf si complétés manuellement)</t>
  </si>
  <si>
    <t>Facultatif: imprimez les onglets concernant l'évaluation orale (vous pouvez aussi les compléter directement à l'écran)</t>
  </si>
  <si>
    <t>Il s'agit d'un document de synthèse, l'enseignant·e et l'expert·e le complètent (NB Un espace suffisant a été prévu pour remplir les différents champs, il n'ont pas l'obligation d'être complétés intégralement).</t>
  </si>
  <si>
    <t>De manière à pouvoir justifier son évaluation, le jury indique les points positifs et négatifs de la présentation de l'étudiant·e, ainsi que les principaux éléments de réponse de l'étudiant·e aux questions posées (notamment les défauts et manquements des réponses).</t>
  </si>
  <si>
    <t>#</t>
  </si>
  <si>
    <t>À l'ouverture du fichier</t>
  </si>
  <si>
    <t>Cliquez sur "Activer le contenu"</t>
  </si>
  <si>
    <r>
      <t>Indiquez l'évaluation définitive (arrondie au 10</t>
    </r>
    <r>
      <rPr>
        <vertAlign val="superscript"/>
        <sz val="11"/>
        <rFont val="Calibri"/>
        <family val="2"/>
      </rPr>
      <t>e</t>
    </r>
    <r>
      <rPr>
        <sz val="11"/>
        <rFont val="Calibri"/>
        <family val="2"/>
      </rPr>
      <t>) à la main, puis ajoutez les date et signatures (la vôtre et celle de l'expert·e) sur tous les documents</t>
    </r>
  </si>
  <si>
    <t>Pendant et juste après la soutenance</t>
  </si>
  <si>
    <t>Si ce n'a pas été fait pendant, complétez les points de l'évaluation orale (enseignant·e et expert·e)</t>
  </si>
  <si>
    <t>Énergie et techniques environnementales</t>
  </si>
  <si>
    <t>Génie électrique</t>
  </si>
  <si>
    <t>Ingénierie et gestion industrielles</t>
  </si>
  <si>
    <t>Microtechniques</t>
  </si>
  <si>
    <t>Systèmes industriels</t>
  </si>
  <si>
    <t>Énergétique du bâtiment</t>
  </si>
  <si>
    <t>Thermique industrielle</t>
  </si>
  <si>
    <t>Thermotronique</t>
  </si>
  <si>
    <t>Électronique - Automatisation industrielle</t>
  </si>
  <si>
    <t>Électronique embarquée - Mécatronique</t>
  </si>
  <si>
    <t>Systèmes énergétiques</t>
  </si>
  <si>
    <t>Mécatronique</t>
  </si>
  <si>
    <t>Conception</t>
  </si>
  <si>
    <r>
      <t>Remettez le tout sans délai au secrétariat TIN (</t>
    </r>
    <r>
      <rPr>
        <sz val="11"/>
        <color theme="9" tint="-0.249977111117893"/>
        <rFont val="Calibri"/>
        <family val="2"/>
      </rPr>
      <t>Grille d'évaluation et Protocole d'évaluation obligatoires</t>
    </r>
    <r>
      <rPr>
        <sz val="11"/>
        <rFont val="Calibri"/>
        <family val="2"/>
      </rPr>
      <t xml:space="preserve">, </t>
    </r>
    <r>
      <rPr>
        <sz val="11"/>
        <color theme="6" tint="-0.249977111117893"/>
        <rFont val="Calibri"/>
        <family val="2"/>
      </rPr>
      <t>grilles d'évaluation orale facultatives</t>
    </r>
    <r>
      <rPr>
        <sz val="11"/>
        <rFont val="Calibri"/>
        <family val="2"/>
      </rPr>
      <t>)</t>
    </r>
  </si>
  <si>
    <r>
      <t xml:space="preserve">Complétez les éléments d'identification </t>
    </r>
    <r>
      <rPr>
        <b/>
        <sz val="11"/>
        <rFont val="Calibri"/>
        <family val="2"/>
      </rPr>
      <t>dans l'onglet "Grille d'évaluation"</t>
    </r>
    <r>
      <rPr>
        <sz val="11"/>
        <rFont val="Calibri"/>
        <family val="2"/>
      </rPr>
      <t xml:space="preserve">
(acronymes : voir détails dans le dernier onglet)</t>
    </r>
  </si>
  <si>
    <t>MT</t>
  </si>
  <si>
    <t>GE</t>
  </si>
  <si>
    <t>ÉTE</t>
  </si>
  <si>
    <t>IGPQ</t>
  </si>
  <si>
    <t>Qualité et performance industrielles</t>
  </si>
  <si>
    <t>IGLO</t>
  </si>
  <si>
    <t>Logistique et organisation industrielles</t>
  </si>
  <si>
    <r>
      <t xml:space="preserve">Enregistrez le fichier en modifiant le type : </t>
    </r>
    <r>
      <rPr>
        <b/>
        <sz val="11"/>
        <color rgb="FFC00000"/>
        <rFont val="Calibri"/>
        <family val="2"/>
      </rPr>
      <t>Classeur Excel (prenant en charge les macros)</t>
    </r>
  </si>
  <si>
    <r>
      <t xml:space="preserve">Complétez la </t>
    </r>
    <r>
      <rPr>
        <sz val="11"/>
        <color theme="6" tint="-0.249977111117893"/>
        <rFont val="Calibri"/>
        <family val="2"/>
      </rPr>
      <t>grille d'évaluation orale (facultatif)</t>
    </r>
    <r>
      <rPr>
        <sz val="11"/>
        <rFont val="Calibri"/>
        <family val="2"/>
      </rPr>
      <t xml:space="preserve"> ainsi que le </t>
    </r>
    <r>
      <rPr>
        <sz val="11"/>
        <color theme="9" tint="-0.249977111117893"/>
        <rFont val="Calibri"/>
        <family val="2"/>
      </rPr>
      <t>protocole d'évaluation orale (obligatoire !)</t>
    </r>
    <r>
      <rPr>
        <sz val="11"/>
        <rFont val="Calibri"/>
        <family val="2"/>
      </rPr>
      <t>, sur le papier ou à l'écran.</t>
    </r>
  </si>
  <si>
    <r>
      <t xml:space="preserve">Ensuite, </t>
    </r>
    <r>
      <rPr>
        <sz val="11"/>
        <color rgb="FFC00000"/>
        <rFont val="Calibri Light"/>
        <family val="2"/>
      </rPr>
      <t>n'oubliez pas d'indiquez la note du TB dans Gaps</t>
    </r>
    <r>
      <rPr>
        <sz val="11"/>
        <rFont val="Calibri Light"/>
        <family val="2"/>
      </rPr>
      <t xml:space="preserve"> et de la communiquer rapidement à l'étudiant·e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</si>
</sst>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49" x14ac:knownFonts="1">
    <font>
      <sz val="10"/>
      <name val="Arial"/>
    </font>
    <font>
      <u/>
      <sz val="11"/>
      <color theme="10"/>
      <name val="Calibri"/>
      <family val="2"/>
    </font>
    <font>
      <sz val="11"/>
      <color rgb="FF000000"/>
      <name val="Calibri"/>
      <family val="2"/>
    </font>
    <font>
      <sz val="10"/>
      <name val="Calibri"/>
      <family val="2"/>
    </font>
    <font>
      <sz val="12"/>
      <name val="Calibri"/>
      <family val="2"/>
    </font>
    <font>
      <b/>
      <sz val="14"/>
      <name val="Calibri"/>
      <family val="2"/>
    </font>
    <font>
      <b/>
      <sz val="11"/>
      <color theme="1"/>
      <name val="Calibri"/>
      <family val="2"/>
    </font>
    <font>
      <i/>
      <sz val="12"/>
      <color rgb="FFFF0000"/>
      <name val="Calibri"/>
      <family val="2"/>
    </font>
    <font>
      <b/>
      <sz val="12"/>
      <name val="Calibri"/>
      <family val="2"/>
    </font>
    <font>
      <sz val="9"/>
      <name val="Calibri"/>
      <family val="2"/>
    </font>
    <font>
      <sz val="10"/>
      <name val="Calibri Light"/>
      <family val="2"/>
    </font>
    <font>
      <sz val="12"/>
      <name val="Calibri Light"/>
      <family val="2"/>
    </font>
    <font>
      <b/>
      <sz val="10"/>
      <name val="Calibri Light"/>
      <family val="2"/>
    </font>
    <font>
      <sz val="10"/>
      <color theme="0"/>
      <name val="Calibri Light"/>
      <family val="2"/>
    </font>
    <font>
      <b/>
      <sz val="9"/>
      <name val="Calibri Light"/>
      <family val="2"/>
    </font>
    <font>
      <b/>
      <i/>
      <sz val="9"/>
      <color indexed="48"/>
      <name val="Calibri Light"/>
      <family val="2"/>
    </font>
    <font>
      <i/>
      <sz val="9"/>
      <name val="Calibri Light"/>
      <family val="2"/>
    </font>
    <font>
      <b/>
      <sz val="12"/>
      <name val="Calibri Light"/>
      <family val="2"/>
    </font>
    <font>
      <sz val="8"/>
      <name val="Calibri Light"/>
      <family val="2"/>
    </font>
    <font>
      <b/>
      <sz val="16"/>
      <color indexed="48"/>
      <name val="Calibri Light"/>
      <family val="2"/>
    </font>
    <font>
      <i/>
      <sz val="12"/>
      <name val="Calibri Light"/>
      <family val="2"/>
    </font>
    <font>
      <sz val="14"/>
      <name val="Calibri Light"/>
      <family val="2"/>
    </font>
    <font>
      <sz val="24"/>
      <name val="Calibri Light"/>
      <family val="2"/>
    </font>
    <font>
      <sz val="14"/>
      <color theme="0"/>
      <name val="Calibri Light"/>
      <family val="2"/>
    </font>
    <font>
      <sz val="9"/>
      <name val="Calibri Light"/>
      <family val="2"/>
    </font>
    <font>
      <sz val="11"/>
      <name val="Calibri Light"/>
      <family val="2"/>
    </font>
    <font>
      <sz val="11"/>
      <color indexed="8"/>
      <name val="Calibri"/>
      <family val="2"/>
      <scheme val="minor"/>
    </font>
    <font>
      <sz val="11"/>
      <name val="Calibri"/>
      <family val="2"/>
      <scheme val="minor"/>
    </font>
    <font>
      <sz val="11"/>
      <name val="Calibri"/>
      <family val="2"/>
    </font>
    <font>
      <sz val="8"/>
      <color rgb="FF0000FF"/>
      <name val="Calibri Light"/>
      <family val="2"/>
    </font>
    <font>
      <i/>
      <sz val="12"/>
      <color theme="5" tint="0.79998168889431442"/>
      <name val="Calibri Light"/>
      <family val="2"/>
    </font>
    <font>
      <i/>
      <sz val="11"/>
      <name val="Calibri"/>
      <family val="2"/>
      <scheme val="minor"/>
    </font>
    <font>
      <sz val="10"/>
      <color indexed="12"/>
      <name val="Calibri Light"/>
      <family val="2"/>
    </font>
    <font>
      <sz val="11"/>
      <color theme="0"/>
      <name val="Calibri"/>
      <family val="2"/>
    </font>
    <font>
      <sz val="10"/>
      <color indexed="81"/>
      <name val="Calibri Light"/>
      <family val="2"/>
    </font>
    <font>
      <b/>
      <sz val="10"/>
      <color indexed="81"/>
      <name val="Calibri Light"/>
      <family val="2"/>
    </font>
    <font>
      <b/>
      <sz val="11"/>
      <name val="Calibri"/>
      <family val="2"/>
    </font>
    <font>
      <b/>
      <sz val="10"/>
      <name val="Calibri"/>
      <family val="2"/>
    </font>
    <font>
      <i/>
      <sz val="10"/>
      <name val="Calibri"/>
      <family val="2"/>
    </font>
    <font>
      <i/>
      <sz val="10"/>
      <name val="Calibri Light"/>
      <family val="2"/>
    </font>
    <font>
      <i/>
      <sz val="11"/>
      <name val="Calibri"/>
      <family val="2"/>
    </font>
    <font>
      <sz val="9"/>
      <color indexed="81"/>
      <name val="Calibri Light"/>
      <family val="2"/>
    </font>
    <font>
      <i/>
      <sz val="11"/>
      <name val="Calibri Light"/>
      <family val="2"/>
    </font>
    <font>
      <vertAlign val="superscript"/>
      <sz val="11"/>
      <name val="Calibri"/>
      <family val="2"/>
    </font>
    <font>
      <sz val="10"/>
      <name val="Arial"/>
      <family val="2"/>
    </font>
    <font>
      <sz val="11"/>
      <color theme="6" tint="-0.249977111117893"/>
      <name val="Calibri"/>
      <family val="2"/>
    </font>
    <font>
      <sz val="11"/>
      <color theme="9" tint="-0.249977111117893"/>
      <name val="Calibri"/>
      <family val="2"/>
    </font>
    <font>
      <b/>
      <sz val="11"/>
      <color rgb="FFC00000"/>
      <name val="Calibri"/>
      <family val="2"/>
    </font>
    <font>
      <sz val="11"/>
      <color rgb="FFC00000"/>
      <name val="Calibri Light"/>
      <family val="2"/>
    </font>
  </fonts>
  <fills count="8">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rgb="FFFFFFCC"/>
        <bgColor indexed="64"/>
      </patternFill>
    </fill>
  </fills>
  <borders count="28">
    <border>
      <left/>
      <right/>
      <top/>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medium">
        <color auto="1"/>
      </bottom>
      <diagonal/>
    </border>
    <border>
      <left/>
      <right style="thin">
        <color auto="1"/>
      </right>
      <top style="thin">
        <color auto="1"/>
      </top>
      <bottom style="hair">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right style="medium">
        <color auto="1"/>
      </right>
      <top style="thin">
        <color auto="1"/>
      </top>
      <bottom style="thin">
        <color auto="1"/>
      </bottom>
      <diagonal/>
    </border>
    <border>
      <left style="thin">
        <color auto="1"/>
      </left>
      <right/>
      <top/>
      <bottom style="hair">
        <color auto="1"/>
      </bottom>
      <diagonal/>
    </border>
    <border>
      <left/>
      <right style="thin">
        <color auto="1"/>
      </right>
      <top/>
      <bottom style="hair">
        <color auto="1"/>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alignment vertical="top"/>
      <protection locked="0"/>
    </xf>
    <xf numFmtId="0" fontId="2" fillId="0" borderId="0"/>
  </cellStyleXfs>
  <cellXfs count="235">
    <xf numFmtId="0" fontId="0" fillId="0" borderId="0" xfId="0"/>
    <xf numFmtId="164" fontId="4" fillId="3" borderId="17" xfId="0" applyNumberFormat="1" applyFont="1" applyFill="1" applyBorder="1" applyAlignment="1">
      <alignment horizontal="center" vertical="center"/>
    </xf>
    <xf numFmtId="2" fontId="4" fillId="0" borderId="6" xfId="0" applyNumberFormat="1" applyFont="1" applyBorder="1" applyAlignment="1">
      <alignment horizontal="center" vertical="center"/>
    </xf>
    <xf numFmtId="0" fontId="10" fillId="3" borderId="8" xfId="0" applyFont="1" applyFill="1" applyBorder="1" applyAlignment="1">
      <alignment vertical="center"/>
    </xf>
    <xf numFmtId="0" fontId="10" fillId="3" borderId="9" xfId="0" applyFont="1" applyFill="1" applyBorder="1" applyAlignment="1">
      <alignment vertical="center"/>
    </xf>
    <xf numFmtId="0" fontId="11" fillId="3" borderId="9" xfId="0" applyFont="1" applyFill="1" applyBorder="1" applyAlignment="1">
      <alignment horizontal="center"/>
    </xf>
    <xf numFmtId="0" fontId="10" fillId="3" borderId="10" xfId="0" applyFont="1" applyFill="1" applyBorder="1" applyAlignment="1">
      <alignment vertical="center"/>
    </xf>
    <xf numFmtId="0" fontId="10" fillId="3" borderId="0" xfId="0" applyFont="1" applyFill="1" applyAlignment="1">
      <alignment vertical="center"/>
    </xf>
    <xf numFmtId="0" fontId="10" fillId="0" borderId="0" xfId="0" applyFont="1" applyAlignment="1">
      <alignment horizontal="center" vertical="center"/>
    </xf>
    <xf numFmtId="0" fontId="10" fillId="0" borderId="0" xfId="0" applyFont="1" applyAlignment="1">
      <alignment vertical="center"/>
    </xf>
    <xf numFmtId="0" fontId="10" fillId="3" borderId="1" xfId="0" applyFont="1" applyFill="1" applyBorder="1" applyAlignment="1">
      <alignment vertical="center"/>
    </xf>
    <xf numFmtId="0" fontId="10" fillId="3" borderId="0" xfId="0" applyFont="1" applyFill="1" applyBorder="1" applyAlignment="1">
      <alignment vertical="center"/>
    </xf>
    <xf numFmtId="0" fontId="11" fillId="3" borderId="0" xfId="0" applyFont="1" applyFill="1" applyBorder="1" applyAlignment="1">
      <alignment horizontal="center"/>
    </xf>
    <xf numFmtId="0" fontId="10" fillId="3" borderId="11" xfId="0" applyFont="1" applyFill="1" applyBorder="1" applyAlignment="1">
      <alignment horizontal="right" vertical="center"/>
    </xf>
    <xf numFmtId="0" fontId="10" fillId="3" borderId="12" xfId="0" applyFont="1" applyFill="1" applyBorder="1" applyAlignment="1">
      <alignment vertical="center"/>
    </xf>
    <xf numFmtId="0" fontId="10" fillId="3" borderId="13" xfId="0" applyFont="1" applyFill="1" applyBorder="1" applyAlignment="1">
      <alignment vertical="center"/>
    </xf>
    <xf numFmtId="0" fontId="11" fillId="3" borderId="13" xfId="0" applyFont="1" applyFill="1" applyBorder="1" applyAlignment="1">
      <alignment horizontal="center"/>
    </xf>
    <xf numFmtId="0" fontId="10" fillId="3" borderId="14" xfId="0" applyFont="1" applyFill="1" applyBorder="1" applyAlignment="1">
      <alignment vertical="center"/>
    </xf>
    <xf numFmtId="0" fontId="13" fillId="3" borderId="0" xfId="0" applyFont="1" applyFill="1" applyAlignment="1">
      <alignment vertical="center"/>
    </xf>
    <xf numFmtId="0" fontId="10" fillId="3" borderId="15" xfId="0" applyFont="1" applyFill="1" applyBorder="1" applyAlignment="1">
      <alignment vertical="center"/>
    </xf>
    <xf numFmtId="0" fontId="11" fillId="3" borderId="15" xfId="0" applyFont="1" applyFill="1" applyBorder="1" applyAlignment="1">
      <alignment horizontal="center"/>
    </xf>
    <xf numFmtId="0" fontId="10" fillId="3" borderId="16" xfId="0" applyFont="1" applyFill="1" applyBorder="1" applyAlignment="1">
      <alignment vertical="center"/>
    </xf>
    <xf numFmtId="0" fontId="15" fillId="3" borderId="8" xfId="0" applyFont="1" applyFill="1" applyBorder="1" applyAlignment="1">
      <alignment horizontal="center" vertical="center" wrapText="1"/>
    </xf>
    <xf numFmtId="0" fontId="15" fillId="3" borderId="9" xfId="0" applyFont="1" applyFill="1" applyBorder="1" applyAlignment="1">
      <alignment horizontal="center" vertical="center" wrapText="1"/>
    </xf>
    <xf numFmtId="0" fontId="16" fillId="3" borderId="9" xfId="0" applyFont="1" applyFill="1" applyBorder="1" applyAlignment="1">
      <alignment horizontal="center"/>
    </xf>
    <xf numFmtId="0" fontId="16" fillId="3" borderId="0" xfId="0" applyFont="1" applyFill="1" applyAlignment="1">
      <alignment vertical="center"/>
    </xf>
    <xf numFmtId="0" fontId="16" fillId="0" borderId="0" xfId="0" applyFont="1" applyAlignment="1">
      <alignment horizontal="center" vertical="center"/>
    </xf>
    <xf numFmtId="0" fontId="16" fillId="0" borderId="0" xfId="0" applyFont="1" applyAlignment="1">
      <alignment vertical="center"/>
    </xf>
    <xf numFmtId="0" fontId="17" fillId="3" borderId="10" xfId="0" applyFont="1" applyFill="1" applyBorder="1" applyAlignment="1">
      <alignment horizontal="center" wrapText="1"/>
    </xf>
    <xf numFmtId="0" fontId="18" fillId="3" borderId="14" xfId="0" applyFont="1" applyFill="1" applyBorder="1" applyAlignment="1">
      <alignment horizontal="center" wrapText="1"/>
    </xf>
    <xf numFmtId="0" fontId="17" fillId="3" borderId="14" xfId="0" applyFont="1" applyFill="1" applyBorder="1" applyAlignment="1">
      <alignment horizontal="center" wrapText="1"/>
    </xf>
    <xf numFmtId="0" fontId="19" fillId="3" borderId="10" xfId="0" applyFont="1" applyFill="1" applyBorder="1" applyAlignment="1">
      <alignment horizontal="center" wrapText="1"/>
    </xf>
    <xf numFmtId="0" fontId="17" fillId="3" borderId="11" xfId="0" applyFont="1" applyFill="1" applyBorder="1" applyAlignment="1">
      <alignment horizontal="center" wrapText="1"/>
    </xf>
    <xf numFmtId="0" fontId="12" fillId="0" borderId="3" xfId="0" applyFont="1" applyBorder="1" applyAlignment="1">
      <alignment horizontal="left" vertical="center" wrapText="1" indent="1"/>
    </xf>
    <xf numFmtId="0" fontId="12" fillId="0" borderId="5" xfId="0" applyFont="1" applyBorder="1" applyAlignment="1">
      <alignment horizontal="left" vertical="center" wrapText="1" indent="1"/>
    </xf>
    <xf numFmtId="0" fontId="17" fillId="3" borderId="5" xfId="0" applyFont="1" applyFill="1" applyBorder="1" applyAlignment="1">
      <alignment horizontal="center" wrapText="1"/>
    </xf>
    <xf numFmtId="164" fontId="11" fillId="3" borderId="5" xfId="0" applyNumberFormat="1" applyFont="1" applyFill="1" applyBorder="1" applyAlignment="1">
      <alignment horizontal="center" vertical="center" wrapText="1"/>
    </xf>
    <xf numFmtId="0" fontId="10" fillId="3" borderId="5" xfId="0" applyFont="1" applyFill="1" applyBorder="1" applyAlignment="1">
      <alignment vertical="center" wrapText="1"/>
    </xf>
    <xf numFmtId="0" fontId="21" fillId="3" borderId="0" xfId="0" applyFont="1" applyFill="1" applyAlignment="1">
      <alignment vertical="center"/>
    </xf>
    <xf numFmtId="0" fontId="21" fillId="0" borderId="0" xfId="0" applyFont="1" applyAlignment="1">
      <alignment horizontal="center"/>
    </xf>
    <xf numFmtId="0" fontId="21" fillId="0" borderId="0" xfId="0" applyFont="1" applyAlignment="1">
      <alignment vertical="center"/>
    </xf>
    <xf numFmtId="0" fontId="17" fillId="3" borderId="0" xfId="0" applyFont="1" applyFill="1" applyBorder="1" applyAlignment="1">
      <alignment horizontal="left" vertical="center" wrapText="1"/>
    </xf>
    <xf numFmtId="164" fontId="20" fillId="3" borderId="0" xfId="0" applyNumberFormat="1" applyFont="1" applyFill="1" applyBorder="1" applyAlignment="1">
      <alignment horizontal="center" vertical="center"/>
    </xf>
    <xf numFmtId="0" fontId="21" fillId="0" borderId="8" xfId="0" applyFont="1" applyBorder="1" applyAlignment="1">
      <alignment vertical="center"/>
    </xf>
    <xf numFmtId="0" fontId="17" fillId="3" borderId="9" xfId="0" applyFont="1" applyFill="1" applyBorder="1" applyAlignment="1">
      <alignment horizontal="left" vertical="center" wrapText="1"/>
    </xf>
    <xf numFmtId="164" fontId="20" fillId="3" borderId="9" xfId="0" applyNumberFormat="1" applyFont="1" applyFill="1" applyBorder="1" applyAlignment="1">
      <alignment horizontal="center" vertical="center"/>
    </xf>
    <xf numFmtId="0" fontId="23" fillId="3" borderId="10" xfId="0" applyFont="1" applyFill="1" applyBorder="1" applyAlignment="1">
      <alignment vertical="center"/>
    </xf>
    <xf numFmtId="0" fontId="21" fillId="0" borderId="1" xfId="0" applyFont="1" applyBorder="1" applyAlignment="1">
      <alignment vertical="center"/>
    </xf>
    <xf numFmtId="0" fontId="24" fillId="3" borderId="0" xfId="0" applyFont="1" applyFill="1" applyBorder="1" applyAlignment="1"/>
    <xf numFmtId="0" fontId="21" fillId="3" borderId="11" xfId="0" applyFont="1" applyFill="1" applyBorder="1" applyAlignment="1">
      <alignment vertical="center"/>
    </xf>
    <xf numFmtId="0" fontId="10" fillId="3" borderId="1" xfId="0" applyFont="1" applyFill="1" applyBorder="1" applyAlignment="1"/>
    <xf numFmtId="0" fontId="10" fillId="3" borderId="0" xfId="0" applyFont="1" applyFill="1" applyBorder="1" applyAlignment="1"/>
    <xf numFmtId="164" fontId="10" fillId="3" borderId="0" xfId="0" applyNumberFormat="1" applyFont="1" applyFill="1" applyBorder="1" applyAlignment="1">
      <alignment horizontal="left"/>
    </xf>
    <xf numFmtId="0" fontId="21" fillId="0" borderId="11" xfId="0" applyFont="1" applyBorder="1" applyAlignment="1">
      <alignment vertical="center"/>
    </xf>
    <xf numFmtId="0" fontId="10" fillId="0" borderId="0" xfId="0" applyFont="1" applyAlignment="1"/>
    <xf numFmtId="0" fontId="14" fillId="3" borderId="0" xfId="0" applyFont="1" applyFill="1" applyAlignment="1"/>
    <xf numFmtId="164" fontId="10" fillId="3" borderId="0" xfId="0" applyNumberFormat="1" applyFont="1" applyFill="1" applyBorder="1" applyAlignment="1">
      <alignment horizontal="left"/>
    </xf>
    <xf numFmtId="0" fontId="10" fillId="0" borderId="11" xfId="0" applyFont="1" applyBorder="1" applyAlignment="1"/>
    <xf numFmtId="0" fontId="10" fillId="3" borderId="0" xfId="0" applyFont="1" applyFill="1" applyAlignment="1"/>
    <xf numFmtId="0" fontId="10" fillId="3" borderId="12" xfId="0" applyFont="1" applyFill="1" applyBorder="1" applyAlignment="1"/>
    <xf numFmtId="164" fontId="10" fillId="3" borderId="13" xfId="0" applyNumberFormat="1" applyFont="1" applyFill="1" applyBorder="1" applyAlignment="1">
      <alignment horizontal="left"/>
    </xf>
    <xf numFmtId="0" fontId="10" fillId="3" borderId="13" xfId="0" applyFont="1" applyFill="1" applyBorder="1" applyAlignment="1"/>
    <xf numFmtId="0" fontId="10" fillId="0" borderId="14" xfId="0" applyFont="1" applyBorder="1" applyAlignment="1"/>
    <xf numFmtId="0" fontId="10" fillId="3" borderId="0" xfId="0" applyFont="1" applyFill="1" applyAlignment="1">
      <alignment wrapText="1"/>
    </xf>
    <xf numFmtId="0" fontId="10" fillId="0" borderId="0" xfId="0" applyFont="1" applyAlignment="1">
      <alignment horizontal="center" wrapText="1"/>
    </xf>
    <xf numFmtId="0" fontId="10" fillId="0" borderId="0" xfId="0" applyFont="1" applyAlignment="1">
      <alignment wrapText="1"/>
    </xf>
    <xf numFmtId="164" fontId="11" fillId="0" borderId="0" xfId="0" applyNumberFormat="1" applyFont="1" applyAlignment="1">
      <alignment horizontal="left" wrapText="1"/>
    </xf>
    <xf numFmtId="0" fontId="10" fillId="3" borderId="20" xfId="0" applyFont="1" applyFill="1" applyBorder="1" applyAlignment="1" applyProtection="1">
      <protection locked="0"/>
    </xf>
    <xf numFmtId="0" fontId="11" fillId="3" borderId="20" xfId="0" applyFont="1" applyFill="1" applyBorder="1" applyAlignment="1" applyProtection="1">
      <alignment horizontal="center"/>
      <protection locked="0"/>
    </xf>
    <xf numFmtId="0" fontId="10" fillId="3" borderId="0" xfId="0" applyFont="1" applyFill="1" applyBorder="1" applyAlignment="1">
      <alignment horizontal="left" vertical="center"/>
    </xf>
    <xf numFmtId="0" fontId="11" fillId="3" borderId="0" xfId="0" applyFont="1" applyFill="1" applyAlignment="1">
      <alignment horizontal="center"/>
    </xf>
    <xf numFmtId="0" fontId="14" fillId="3" borderId="0" xfId="0" applyFont="1" applyFill="1" applyAlignment="1">
      <alignment vertical="center"/>
    </xf>
    <xf numFmtId="0" fontId="17" fillId="3" borderId="0" xfId="0" applyFont="1" applyFill="1" applyAlignment="1">
      <alignment horizontal="center"/>
    </xf>
    <xf numFmtId="0" fontId="11" fillId="0" borderId="0" xfId="0" applyFont="1" applyAlignment="1">
      <alignment horizontal="center"/>
    </xf>
    <xf numFmtId="0" fontId="25" fillId="0" borderId="1" xfId="0" applyFont="1" applyBorder="1" applyAlignment="1">
      <alignment vertical="center"/>
    </xf>
    <xf numFmtId="0" fontId="27" fillId="3" borderId="17" xfId="0" applyFont="1" applyFill="1" applyBorder="1" applyAlignment="1">
      <alignment horizontal="center"/>
    </xf>
    <xf numFmtId="0" fontId="27" fillId="3" borderId="4" xfId="0" applyFont="1" applyFill="1" applyBorder="1" applyAlignment="1">
      <alignment horizontal="center" vertical="center" wrapText="1"/>
    </xf>
    <xf numFmtId="0" fontId="28" fillId="3" borderId="11" xfId="0" applyFont="1" applyFill="1" applyBorder="1" applyAlignment="1">
      <alignment horizontal="right" vertical="center"/>
    </xf>
    <xf numFmtId="0" fontId="25" fillId="0" borderId="0" xfId="0" applyFont="1"/>
    <xf numFmtId="0" fontId="25" fillId="3" borderId="5" xfId="0" applyFont="1" applyFill="1" applyBorder="1" applyAlignment="1">
      <alignment horizontal="center" vertical="center"/>
    </xf>
    <xf numFmtId="0" fontId="4" fillId="3" borderId="9" xfId="0" applyFont="1" applyFill="1" applyBorder="1" applyAlignment="1"/>
    <xf numFmtId="0" fontId="9" fillId="3" borderId="0" xfId="0" applyFont="1" applyFill="1" applyAlignment="1">
      <alignment vertical="center"/>
    </xf>
    <xf numFmtId="0" fontId="22" fillId="0" borderId="0" xfId="0" applyFont="1" applyFill="1" applyBorder="1" applyAlignment="1" applyProtection="1">
      <alignment vertical="center" wrapText="1"/>
      <protection locked="0"/>
    </xf>
    <xf numFmtId="0" fontId="22" fillId="4" borderId="0" xfId="0" applyFont="1" applyFill="1" applyBorder="1" applyAlignment="1" applyProtection="1">
      <alignment vertical="center" wrapText="1"/>
      <protection locked="0"/>
    </xf>
    <xf numFmtId="0" fontId="16" fillId="3" borderId="5" xfId="0" applyFont="1" applyFill="1" applyBorder="1" applyAlignment="1">
      <alignment horizontal="right" vertical="center" wrapText="1"/>
    </xf>
    <xf numFmtId="164" fontId="10" fillId="3" borderId="0" xfId="0" applyNumberFormat="1" applyFont="1" applyFill="1" applyBorder="1" applyAlignment="1">
      <alignment horizontal="left"/>
    </xf>
    <xf numFmtId="0" fontId="10" fillId="0" borderId="0" xfId="0" applyFont="1" applyBorder="1" applyAlignment="1"/>
    <xf numFmtId="164" fontId="11" fillId="4" borderId="0" xfId="0" applyNumberFormat="1" applyFont="1" applyFill="1" applyAlignment="1">
      <alignment horizontal="left" vertical="center" wrapText="1"/>
    </xf>
    <xf numFmtId="164" fontId="11" fillId="4" borderId="0" xfId="0" applyNumberFormat="1" applyFont="1" applyFill="1" applyAlignment="1">
      <alignment horizontal="center" vertical="center" wrapText="1"/>
    </xf>
    <xf numFmtId="0" fontId="11" fillId="4" borderId="0" xfId="0" applyFont="1" applyFill="1" applyAlignment="1">
      <alignment horizontal="right" vertical="center" wrapText="1"/>
    </xf>
    <xf numFmtId="0" fontId="10" fillId="4" borderId="0" xfId="0" applyFont="1" applyFill="1" applyAlignment="1">
      <alignment vertical="center" wrapText="1"/>
    </xf>
    <xf numFmtId="0" fontId="10" fillId="3" borderId="0" xfId="0" applyFont="1" applyFill="1" applyAlignment="1">
      <alignment vertical="center" wrapText="1"/>
    </xf>
    <xf numFmtId="0" fontId="10" fillId="0" borderId="0" xfId="0" applyFont="1" applyAlignment="1">
      <alignment horizontal="center" vertical="center" wrapText="1"/>
    </xf>
    <xf numFmtId="0" fontId="10" fillId="0" borderId="0" xfId="0" applyFont="1" applyAlignment="1">
      <alignment vertical="center" wrapText="1"/>
    </xf>
    <xf numFmtId="0" fontId="10" fillId="0" borderId="0" xfId="0" applyFont="1" applyFill="1" applyBorder="1" applyAlignment="1">
      <alignment vertical="center"/>
    </xf>
    <xf numFmtId="0" fontId="28" fillId="0" borderId="0" xfId="0" applyFont="1" applyFill="1" applyBorder="1" applyAlignment="1">
      <alignment horizontal="right" vertical="center"/>
    </xf>
    <xf numFmtId="0" fontId="10" fillId="0" borderId="0" xfId="0" applyFont="1" applyFill="1" applyBorder="1" applyAlignment="1">
      <alignment horizontal="right" vertical="center"/>
    </xf>
    <xf numFmtId="0" fontId="25" fillId="0" borderId="0" xfId="0" applyFont="1" applyFill="1" applyBorder="1" applyAlignment="1">
      <alignment vertical="center"/>
    </xf>
    <xf numFmtId="0" fontId="25" fillId="0" borderId="0" xfId="0" applyFont="1" applyFill="1" applyBorder="1" applyAlignment="1">
      <alignment horizontal="left" vertical="center"/>
    </xf>
    <xf numFmtId="0" fontId="3" fillId="0" borderId="0" xfId="0" applyFont="1" applyFill="1" applyBorder="1" applyAlignment="1">
      <alignment vertical="center"/>
    </xf>
    <xf numFmtId="0" fontId="27" fillId="0" borderId="0" xfId="0" applyFont="1" applyFill="1" applyBorder="1" applyAlignment="1">
      <alignment vertical="center"/>
    </xf>
    <xf numFmtId="0" fontId="28" fillId="0" borderId="0" xfId="0" applyFont="1" applyFill="1" applyBorder="1" applyAlignment="1">
      <alignment vertical="center"/>
    </xf>
    <xf numFmtId="0" fontId="36" fillId="0" borderId="0" xfId="0" applyFont="1" applyFill="1" applyBorder="1" applyAlignment="1">
      <alignment vertical="center"/>
    </xf>
    <xf numFmtId="0" fontId="10" fillId="0" borderId="0" xfId="0" applyFont="1" applyFill="1" applyBorder="1" applyAlignment="1">
      <alignment horizontal="center" vertical="center"/>
    </xf>
    <xf numFmtId="0" fontId="38" fillId="0" borderId="0" xfId="0" applyFont="1" applyFill="1" applyBorder="1" applyAlignment="1">
      <alignment vertical="center"/>
    </xf>
    <xf numFmtId="0" fontId="39" fillId="0" borderId="0" xfId="0" applyFont="1" applyFill="1" applyBorder="1" applyAlignment="1">
      <alignment vertical="center"/>
    </xf>
    <xf numFmtId="0" fontId="40" fillId="0" borderId="0" xfId="0" applyFont="1" applyFill="1" applyBorder="1" applyAlignment="1">
      <alignment vertical="center"/>
    </xf>
    <xf numFmtId="0" fontId="39" fillId="0" borderId="0" xfId="0" applyFont="1" applyFill="1" applyBorder="1" applyAlignment="1">
      <alignment horizontal="center" vertical="center"/>
    </xf>
    <xf numFmtId="0" fontId="3" fillId="0" borderId="8" xfId="0" applyFont="1" applyFill="1" applyBorder="1" applyAlignment="1">
      <alignment vertical="center"/>
    </xf>
    <xf numFmtId="0" fontId="10" fillId="0" borderId="0" xfId="0" applyFont="1" applyFill="1" applyBorder="1" applyAlignment="1"/>
    <xf numFmtId="0" fontId="10" fillId="0" borderId="20" xfId="0" applyFont="1" applyFill="1" applyBorder="1" applyAlignment="1">
      <alignment horizontal="center" vertical="center"/>
    </xf>
    <xf numFmtId="0" fontId="10" fillId="0" borderId="9" xfId="0" applyFont="1" applyFill="1" applyBorder="1" applyAlignment="1">
      <alignment vertical="center"/>
    </xf>
    <xf numFmtId="0" fontId="10" fillId="0" borderId="10" xfId="0" applyFont="1" applyFill="1" applyBorder="1" applyAlignment="1">
      <alignment vertical="center"/>
    </xf>
    <xf numFmtId="0" fontId="10" fillId="0" borderId="1" xfId="0" applyFont="1" applyFill="1" applyBorder="1" applyAlignment="1">
      <alignment vertical="top" wrapText="1"/>
    </xf>
    <xf numFmtId="0" fontId="10" fillId="0" borderId="12" xfId="0" applyFont="1" applyFill="1" applyBorder="1" applyAlignment="1">
      <alignment vertical="top" wrapText="1"/>
    </xf>
    <xf numFmtId="0" fontId="3" fillId="6" borderId="8" xfId="0" applyFont="1" applyFill="1" applyBorder="1" applyAlignment="1">
      <alignment vertical="center"/>
    </xf>
    <xf numFmtId="0" fontId="3" fillId="6" borderId="10" xfId="0" applyFont="1" applyFill="1" applyBorder="1" applyAlignment="1">
      <alignment vertical="center"/>
    </xf>
    <xf numFmtId="0" fontId="10" fillId="0" borderId="13" xfId="0" applyFont="1" applyFill="1" applyBorder="1" applyAlignment="1">
      <alignment vertical="center" wrapText="1"/>
    </xf>
    <xf numFmtId="0" fontId="10" fillId="0" borderId="14" xfId="0" applyFont="1" applyFill="1" applyBorder="1" applyAlignment="1">
      <alignment vertical="center" wrapText="1"/>
    </xf>
    <xf numFmtId="0" fontId="30" fillId="7" borderId="2" xfId="0" applyNumberFormat="1" applyFont="1" applyFill="1" applyBorder="1" applyAlignment="1">
      <alignment horizontal="center" vertical="center"/>
    </xf>
    <xf numFmtId="0" fontId="25" fillId="0" borderId="1" xfId="0" applyFont="1" applyBorder="1" applyAlignment="1">
      <alignment vertical="top"/>
    </xf>
    <xf numFmtId="0" fontId="25" fillId="0" borderId="0" xfId="0" applyFont="1" applyFill="1" applyBorder="1" applyAlignment="1">
      <alignment vertical="top" wrapText="1"/>
    </xf>
    <xf numFmtId="0" fontId="25" fillId="0" borderId="0" xfId="0" applyFont="1" applyFill="1" applyBorder="1" applyAlignment="1">
      <alignment horizontal="left" vertical="top" wrapText="1"/>
    </xf>
    <xf numFmtId="2" fontId="28" fillId="0" borderId="0" xfId="0" applyNumberFormat="1" applyFont="1" applyFill="1" applyBorder="1" applyAlignment="1">
      <alignment horizontal="left" vertical="center"/>
    </xf>
    <xf numFmtId="0" fontId="3" fillId="7" borderId="8" xfId="0" applyFont="1" applyFill="1" applyBorder="1" applyAlignment="1">
      <alignment vertical="center"/>
    </xf>
    <xf numFmtId="0" fontId="3" fillId="7" borderId="10" xfId="0" applyFont="1" applyFill="1" applyBorder="1" applyAlignment="1">
      <alignment vertical="center"/>
    </xf>
    <xf numFmtId="0" fontId="25" fillId="0" borderId="0" xfId="0" applyFont="1" applyAlignment="1">
      <alignment vertical="top" wrapText="1"/>
    </xf>
    <xf numFmtId="0" fontId="28" fillId="0" borderId="0" xfId="0" applyFont="1" applyAlignment="1">
      <alignment vertical="top" wrapText="1"/>
    </xf>
    <xf numFmtId="0" fontId="25" fillId="0" borderId="4" xfId="0" applyFont="1" applyBorder="1" applyAlignment="1">
      <alignment vertical="top" wrapText="1"/>
    </xf>
    <xf numFmtId="0" fontId="28" fillId="0" borderId="4" xfId="0" applyFont="1" applyBorder="1" applyAlignment="1">
      <alignment vertical="top" wrapText="1"/>
    </xf>
    <xf numFmtId="0" fontId="25" fillId="0" borderId="19" xfId="0" applyFont="1" applyBorder="1" applyAlignment="1">
      <alignment vertical="top" wrapText="1"/>
    </xf>
    <xf numFmtId="0" fontId="25" fillId="7" borderId="4" xfId="0" applyFont="1" applyFill="1" applyBorder="1" applyAlignment="1">
      <alignment vertical="top" wrapText="1"/>
    </xf>
    <xf numFmtId="0" fontId="40" fillId="0" borderId="4" xfId="0" applyFont="1" applyBorder="1" applyAlignment="1">
      <alignment vertical="top" wrapText="1"/>
    </xf>
    <xf numFmtId="0" fontId="42" fillId="0" borderId="4" xfId="0" applyFont="1" applyBorder="1" applyAlignment="1">
      <alignment vertical="top" wrapText="1"/>
    </xf>
    <xf numFmtId="0" fontId="25" fillId="0" borderId="4" xfId="0" applyFont="1" applyBorder="1" applyAlignment="1">
      <alignment horizontal="center" vertical="top" wrapText="1"/>
    </xf>
    <xf numFmtId="0" fontId="25" fillId="0" borderId="4" xfId="0" applyFont="1" applyBorder="1" applyAlignment="1">
      <alignment horizontal="right" vertical="top" wrapText="1"/>
    </xf>
    <xf numFmtId="0" fontId="44" fillId="0" borderId="0" xfId="0" applyFont="1"/>
    <xf numFmtId="0" fontId="25" fillId="0" borderId="19" xfId="0" applyFont="1" applyBorder="1" applyAlignment="1">
      <alignment vertical="top" wrapText="1"/>
    </xf>
    <xf numFmtId="0" fontId="25" fillId="0" borderId="27" xfId="0" applyFont="1" applyBorder="1" applyAlignment="1">
      <alignment vertical="top" wrapText="1"/>
    </xf>
    <xf numFmtId="0" fontId="25" fillId="0" borderId="18" xfId="0" applyFont="1" applyBorder="1" applyAlignment="1">
      <alignment vertical="top" wrapText="1"/>
    </xf>
    <xf numFmtId="0" fontId="25" fillId="0" borderId="0" xfId="0" applyFont="1" applyAlignment="1">
      <alignment wrapText="1"/>
    </xf>
    <xf numFmtId="0" fontId="28" fillId="0" borderId="3" xfId="0" applyFont="1" applyBorder="1" applyAlignment="1">
      <alignment vertical="top" wrapText="1"/>
    </xf>
    <xf numFmtId="0" fontId="28" fillId="0" borderId="17" xfId="0" applyFont="1" applyBorder="1" applyAlignment="1">
      <alignment vertical="top" wrapText="1"/>
    </xf>
    <xf numFmtId="0" fontId="7" fillId="3" borderId="21" xfId="0" applyFont="1" applyFill="1" applyBorder="1" applyAlignment="1">
      <alignment horizontal="center" vertical="center"/>
    </xf>
    <xf numFmtId="0" fontId="7" fillId="3" borderId="7" xfId="0" applyFont="1" applyFill="1" applyBorder="1" applyAlignment="1">
      <alignment horizontal="center" vertical="center"/>
    </xf>
    <xf numFmtId="0" fontId="3" fillId="0" borderId="22" xfId="0" applyFont="1" applyBorder="1" applyAlignment="1">
      <alignment horizontal="left" vertical="center" shrinkToFit="1"/>
    </xf>
    <xf numFmtId="0" fontId="3" fillId="0" borderId="23" xfId="0" applyFont="1" applyBorder="1" applyAlignment="1">
      <alignment horizontal="left" vertical="center" shrinkToFit="1"/>
    </xf>
    <xf numFmtId="0" fontId="10" fillId="0" borderId="3" xfId="0" applyFont="1" applyFill="1" applyBorder="1" applyAlignment="1">
      <alignment horizontal="center" vertical="center" wrapText="1"/>
    </xf>
    <xf numFmtId="0" fontId="10" fillId="0" borderId="5" xfId="0" applyFont="1" applyFill="1" applyBorder="1" applyAlignment="1">
      <alignment horizontal="center" vertical="center" wrapText="1"/>
    </xf>
    <xf numFmtId="0" fontId="27" fillId="3" borderId="3" xfId="0" applyFont="1" applyFill="1" applyBorder="1" applyAlignment="1">
      <alignment horizontal="center" vertical="center" wrapText="1"/>
    </xf>
    <xf numFmtId="0" fontId="27" fillId="3" borderId="17" xfId="0" applyFont="1" applyFill="1" applyBorder="1" applyAlignment="1">
      <alignment horizontal="center" vertical="center" wrapText="1"/>
    </xf>
    <xf numFmtId="9" fontId="29" fillId="0" borderId="12" xfId="0" applyNumberFormat="1" applyFont="1" applyFill="1" applyBorder="1" applyAlignment="1">
      <alignment horizontal="center" vertical="center"/>
    </xf>
    <xf numFmtId="9" fontId="29" fillId="0" borderId="14" xfId="0" applyNumberFormat="1" applyFont="1" applyFill="1" applyBorder="1" applyAlignment="1">
      <alignment horizontal="center" vertical="center"/>
    </xf>
    <xf numFmtId="0" fontId="26" fillId="0" borderId="3" xfId="0" applyFont="1" applyBorder="1" applyAlignment="1">
      <alignment horizontal="center" vertical="center" wrapText="1"/>
    </xf>
    <xf numFmtId="0" fontId="26" fillId="0" borderId="5" xfId="0" applyFont="1" applyBorder="1" applyAlignment="1">
      <alignment horizontal="center" vertical="center" wrapText="1"/>
    </xf>
    <xf numFmtId="164" fontId="4" fillId="0" borderId="19" xfId="0" applyNumberFormat="1" applyFont="1" applyFill="1" applyBorder="1" applyAlignment="1">
      <alignment horizontal="center" vertical="center"/>
    </xf>
    <xf numFmtId="164" fontId="4" fillId="0" borderId="18" xfId="0" applyNumberFormat="1" applyFont="1" applyFill="1" applyBorder="1" applyAlignment="1">
      <alignment horizontal="center" vertical="center"/>
    </xf>
    <xf numFmtId="0" fontId="10" fillId="3" borderId="3" xfId="0" applyFont="1" applyFill="1" applyBorder="1" applyAlignment="1">
      <alignment horizontal="left" vertical="center" wrapText="1"/>
    </xf>
    <xf numFmtId="0" fontId="10" fillId="3" borderId="5" xfId="0" applyFont="1" applyFill="1" applyBorder="1" applyAlignment="1">
      <alignment horizontal="left" vertical="center" wrapText="1"/>
    </xf>
    <xf numFmtId="0" fontId="6" fillId="3" borderId="21" xfId="0" applyFont="1" applyFill="1" applyBorder="1" applyAlignment="1">
      <alignment vertical="center" shrinkToFit="1"/>
    </xf>
    <xf numFmtId="0" fontId="27" fillId="0" borderId="8" xfId="0" applyFont="1" applyBorder="1" applyAlignment="1">
      <alignment horizontal="left" vertical="center" wrapText="1"/>
    </xf>
    <xf numFmtId="0" fontId="27" fillId="0" borderId="9" xfId="0" applyFont="1" applyBorder="1" applyAlignment="1">
      <alignment horizontal="left" vertical="center" wrapText="1"/>
    </xf>
    <xf numFmtId="0" fontId="27" fillId="0" borderId="12" xfId="0" applyFont="1" applyBorder="1" applyAlignment="1">
      <alignment horizontal="left" vertical="center" wrapText="1"/>
    </xf>
    <xf numFmtId="0" fontId="27" fillId="0" borderId="13" xfId="0" applyFont="1" applyBorder="1" applyAlignment="1">
      <alignment horizontal="left" vertical="center" wrapText="1"/>
    </xf>
    <xf numFmtId="9" fontId="25" fillId="0" borderId="8" xfId="0" applyNumberFormat="1" applyFont="1" applyFill="1" applyBorder="1" applyAlignment="1" applyProtection="1">
      <alignment horizontal="center" vertical="center"/>
      <protection locked="0"/>
    </xf>
    <xf numFmtId="9" fontId="25" fillId="0" borderId="10" xfId="0" applyNumberFormat="1" applyFont="1" applyFill="1" applyBorder="1" applyAlignment="1" applyProtection="1">
      <alignment horizontal="center" vertical="center"/>
      <protection locked="0"/>
    </xf>
    <xf numFmtId="9" fontId="33" fillId="2" borderId="3" xfId="0" applyNumberFormat="1" applyFont="1" applyFill="1" applyBorder="1" applyAlignment="1">
      <alignment horizontal="center" vertical="center" wrapText="1"/>
    </xf>
    <xf numFmtId="9" fontId="33" fillId="2" borderId="17" xfId="0" applyNumberFormat="1" applyFont="1" applyFill="1" applyBorder="1" applyAlignment="1">
      <alignment horizontal="center" vertical="center" wrapText="1"/>
    </xf>
    <xf numFmtId="164" fontId="11" fillId="0" borderId="0" xfId="0" applyNumberFormat="1" applyFont="1" applyAlignment="1">
      <alignment horizontal="left" wrapText="1"/>
    </xf>
    <xf numFmtId="0" fontId="11" fillId="3" borderId="0" xfId="0" applyFont="1" applyFill="1" applyBorder="1" applyAlignment="1">
      <alignment horizontal="left" vertical="center" wrapText="1"/>
    </xf>
    <xf numFmtId="0" fontId="17" fillId="3" borderId="0" xfId="0" applyFont="1" applyFill="1" applyBorder="1" applyAlignment="1">
      <alignment horizontal="left" vertical="center" wrapText="1"/>
    </xf>
    <xf numFmtId="164" fontId="10" fillId="3" borderId="0" xfId="0" applyNumberFormat="1" applyFont="1" applyFill="1" applyBorder="1" applyAlignment="1">
      <alignment horizontal="left"/>
    </xf>
    <xf numFmtId="164" fontId="10" fillId="3" borderId="13" xfId="0" applyNumberFormat="1" applyFont="1" applyFill="1" applyBorder="1" applyAlignment="1">
      <alignment horizontal="left"/>
    </xf>
    <xf numFmtId="0" fontId="22" fillId="3" borderId="0" xfId="0" applyFont="1" applyFill="1" applyBorder="1" applyAlignment="1" applyProtection="1">
      <alignment vertical="center" wrapText="1"/>
      <protection locked="0"/>
    </xf>
    <xf numFmtId="164" fontId="11" fillId="4" borderId="0" xfId="0" applyNumberFormat="1" applyFont="1" applyFill="1" applyAlignment="1">
      <alignment horizontal="left" vertical="center" wrapText="1"/>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11" xfId="0" applyFont="1" applyFill="1" applyBorder="1" applyAlignment="1">
      <alignment horizontal="center" vertical="center"/>
    </xf>
    <xf numFmtId="0" fontId="10" fillId="3" borderId="20" xfId="0" applyFont="1" applyFill="1" applyBorder="1" applyAlignment="1" applyProtection="1">
      <alignment horizontal="left" vertical="center"/>
      <protection locked="0"/>
    </xf>
    <xf numFmtId="164" fontId="11" fillId="4" borderId="0" xfId="0" applyNumberFormat="1" applyFont="1" applyFill="1" applyAlignment="1">
      <alignment horizontal="left" wrapText="1"/>
    </xf>
    <xf numFmtId="164" fontId="11" fillId="0" borderId="19" xfId="0" applyNumberFormat="1" applyFont="1" applyFill="1" applyBorder="1" applyAlignment="1" applyProtection="1">
      <alignment horizontal="center" vertical="center" wrapText="1"/>
      <protection locked="0"/>
    </xf>
    <xf numFmtId="164" fontId="11" fillId="0" borderId="18" xfId="0" applyNumberFormat="1" applyFont="1" applyFill="1" applyBorder="1" applyAlignment="1" applyProtection="1">
      <alignment horizontal="center" vertical="center" wrapText="1"/>
      <protection locked="0"/>
    </xf>
    <xf numFmtId="164" fontId="11" fillId="5" borderId="19" xfId="0" applyNumberFormat="1" applyFont="1" applyFill="1" applyBorder="1" applyAlignment="1" applyProtection="1">
      <alignment horizontal="center" vertical="center" wrapText="1"/>
      <protection locked="0"/>
    </xf>
    <xf numFmtId="164" fontId="11" fillId="5" borderId="18" xfId="0" applyNumberFormat="1" applyFont="1" applyFill="1" applyBorder="1" applyAlignment="1" applyProtection="1">
      <alignment horizontal="center" vertical="center" wrapText="1"/>
      <protection locked="0"/>
    </xf>
    <xf numFmtId="0" fontId="3" fillId="0" borderId="22" xfId="0" applyFont="1" applyBorder="1" applyAlignment="1">
      <alignment horizontal="left" vertical="top" wrapText="1" shrinkToFit="1"/>
    </xf>
    <xf numFmtId="0" fontId="3" fillId="0" borderId="23" xfId="0" applyFont="1" applyBorder="1" applyAlignment="1">
      <alignment horizontal="left" vertical="top" wrapText="1" shrinkToFit="1"/>
    </xf>
    <xf numFmtId="0" fontId="16" fillId="3" borderId="5" xfId="0" applyFont="1" applyFill="1" applyBorder="1" applyAlignment="1">
      <alignment horizontal="center" vertical="center" wrapText="1"/>
    </xf>
    <xf numFmtId="0" fontId="16" fillId="3" borderId="17" xfId="0" applyFont="1" applyFill="1" applyBorder="1" applyAlignment="1">
      <alignment horizontal="center" vertical="center" wrapText="1"/>
    </xf>
    <xf numFmtId="0" fontId="8" fillId="0" borderId="3" xfId="0" applyFont="1" applyFill="1" applyBorder="1" applyAlignment="1">
      <alignment horizontal="left" vertical="center" wrapText="1"/>
    </xf>
    <xf numFmtId="0" fontId="8" fillId="0" borderId="5" xfId="0" applyFont="1" applyFill="1" applyBorder="1" applyAlignment="1">
      <alignment horizontal="left" vertical="center" wrapText="1"/>
    </xf>
    <xf numFmtId="0" fontId="8" fillId="0" borderId="24" xfId="0" applyFont="1" applyFill="1" applyBorder="1" applyAlignment="1">
      <alignment horizontal="left" vertical="center" wrapText="1"/>
    </xf>
    <xf numFmtId="164" fontId="11" fillId="0" borderId="8" xfId="0" applyNumberFormat="1" applyFont="1" applyFill="1" applyBorder="1" applyAlignment="1" applyProtection="1">
      <alignment horizontal="center" vertical="center" wrapText="1"/>
      <protection locked="0"/>
    </xf>
    <xf numFmtId="164" fontId="11" fillId="0" borderId="10" xfId="0" applyNumberFormat="1" applyFont="1" applyFill="1" applyBorder="1" applyAlignment="1" applyProtection="1">
      <alignment horizontal="center" vertical="center" wrapText="1"/>
      <protection locked="0"/>
    </xf>
    <xf numFmtId="164" fontId="11" fillId="0" borderId="12" xfId="0" applyNumberFormat="1" applyFont="1" applyFill="1" applyBorder="1" applyAlignment="1" applyProtection="1">
      <alignment horizontal="center" vertical="center" wrapText="1"/>
      <protection locked="0"/>
    </xf>
    <xf numFmtId="164" fontId="11" fillId="0" borderId="14" xfId="0" applyNumberFormat="1" applyFont="1" applyFill="1" applyBorder="1" applyAlignment="1" applyProtection="1">
      <alignment horizontal="center" vertical="center" wrapText="1"/>
      <protection locked="0"/>
    </xf>
    <xf numFmtId="0" fontId="25" fillId="0" borderId="1" xfId="0" applyFont="1" applyBorder="1" applyAlignment="1">
      <alignment vertical="center"/>
    </xf>
    <xf numFmtId="0" fontId="25" fillId="0" borderId="0" xfId="0" applyFont="1" applyBorder="1" applyAlignment="1">
      <alignment vertical="center"/>
    </xf>
    <xf numFmtId="0" fontId="25" fillId="0" borderId="11" xfId="0" applyFont="1" applyBorder="1" applyAlignment="1">
      <alignment vertical="center"/>
    </xf>
    <xf numFmtId="0" fontId="25" fillId="0" borderId="12" xfId="0" applyFont="1" applyBorder="1" applyAlignment="1">
      <alignment vertical="center"/>
    </xf>
    <xf numFmtId="0" fontId="25" fillId="0" borderId="13" xfId="0" applyFont="1" applyBorder="1" applyAlignment="1">
      <alignment vertical="center"/>
    </xf>
    <xf numFmtId="0" fontId="25" fillId="0" borderId="14" xfId="0" applyFont="1" applyBorder="1" applyAlignment="1">
      <alignment vertical="center"/>
    </xf>
    <xf numFmtId="0" fontId="31" fillId="3" borderId="3" xfId="0" applyFont="1" applyFill="1" applyBorder="1" applyAlignment="1">
      <alignment horizontal="center" vertical="center" wrapText="1"/>
    </xf>
    <xf numFmtId="0" fontId="31" fillId="3" borderId="5" xfId="0" applyFont="1" applyFill="1" applyBorder="1" applyAlignment="1">
      <alignment horizontal="center" vertical="center" wrapText="1"/>
    </xf>
    <xf numFmtId="0" fontId="31" fillId="3" borderId="17" xfId="0" applyFont="1" applyFill="1" applyBorder="1" applyAlignment="1">
      <alignment horizontal="center" vertical="center" wrapText="1"/>
    </xf>
    <xf numFmtId="0" fontId="25" fillId="0" borderId="8" xfId="0" applyFont="1" applyBorder="1" applyAlignment="1">
      <alignment vertical="center"/>
    </xf>
    <xf numFmtId="0" fontId="25" fillId="0" borderId="9" xfId="0" applyFont="1" applyBorder="1" applyAlignment="1">
      <alignment vertical="center"/>
    </xf>
    <xf numFmtId="0" fontId="25" fillId="0" borderId="10" xfId="0" applyFont="1" applyBorder="1" applyAlignment="1">
      <alignment vertical="center"/>
    </xf>
    <xf numFmtId="0" fontId="5" fillId="0" borderId="0" xfId="0" applyFont="1" applyFill="1" applyBorder="1" applyAlignment="1">
      <alignment horizontal="center" wrapText="1"/>
    </xf>
    <xf numFmtId="0" fontId="5" fillId="0" borderId="0" xfId="0" applyFont="1" applyFill="1" applyBorder="1" applyAlignment="1">
      <alignment horizontal="center"/>
    </xf>
    <xf numFmtId="0" fontId="3" fillId="0" borderId="4" xfId="0" applyFont="1" applyFill="1" applyBorder="1" applyAlignment="1">
      <alignment horizontal="center" vertical="center"/>
    </xf>
    <xf numFmtId="0" fontId="10" fillId="0" borderId="25" xfId="0" applyFont="1" applyFill="1" applyBorder="1" applyAlignment="1">
      <alignment vertical="center"/>
    </xf>
    <xf numFmtId="0" fontId="10" fillId="0" borderId="26" xfId="0" applyFont="1" applyFill="1" applyBorder="1" applyAlignment="1">
      <alignment vertical="center"/>
    </xf>
    <xf numFmtId="0" fontId="10" fillId="0" borderId="12" xfId="0" applyFont="1" applyFill="1" applyBorder="1" applyAlignment="1">
      <alignment vertical="center"/>
    </xf>
    <xf numFmtId="0" fontId="10" fillId="0" borderId="14" xfId="0" applyFont="1" applyFill="1" applyBorder="1" applyAlignment="1">
      <alignment vertical="center"/>
    </xf>
    <xf numFmtId="0" fontId="38" fillId="0" borderId="4" xfId="0" applyFont="1" applyFill="1" applyBorder="1" applyAlignment="1">
      <alignment horizontal="center" vertical="center"/>
    </xf>
    <xf numFmtId="0" fontId="25" fillId="0" borderId="0" xfId="0" applyFont="1" applyFill="1" applyBorder="1" applyAlignment="1">
      <alignment horizontal="left" vertical="center"/>
    </xf>
    <xf numFmtId="0" fontId="25" fillId="0" borderId="0" xfId="0" applyFont="1" applyFill="1" applyBorder="1" applyAlignment="1">
      <alignment horizontal="left" vertical="top" wrapText="1"/>
    </xf>
    <xf numFmtId="0" fontId="10" fillId="0" borderId="20" xfId="0" applyFont="1" applyFill="1" applyBorder="1" applyAlignment="1">
      <alignment horizontal="center" vertical="center"/>
    </xf>
    <xf numFmtId="0" fontId="3" fillId="0" borderId="19" xfId="0" applyFont="1" applyFill="1" applyBorder="1" applyAlignment="1">
      <alignment horizontal="center" vertical="center"/>
    </xf>
    <xf numFmtId="0" fontId="38" fillId="0" borderId="19" xfId="0" applyFont="1" applyFill="1" applyBorder="1" applyAlignment="1">
      <alignment horizontal="center" vertical="center"/>
    </xf>
    <xf numFmtId="0" fontId="10" fillId="0" borderId="20" xfId="0" applyFont="1" applyFill="1" applyBorder="1" applyAlignment="1">
      <alignment vertical="center"/>
    </xf>
    <xf numFmtId="0" fontId="10" fillId="0" borderId="13" xfId="0" applyFont="1" applyFill="1" applyBorder="1" applyAlignment="1">
      <alignment vertical="center"/>
    </xf>
    <xf numFmtId="0" fontId="3" fillId="7" borderId="8" xfId="0" applyFont="1" applyFill="1" applyBorder="1" applyAlignment="1">
      <alignment vertical="center"/>
    </xf>
    <xf numFmtId="0" fontId="3" fillId="7" borderId="9" xfId="0" applyFont="1" applyFill="1" applyBorder="1" applyAlignment="1">
      <alignment vertical="center"/>
    </xf>
    <xf numFmtId="0" fontId="3" fillId="7" borderId="10" xfId="0" applyFont="1" applyFill="1" applyBorder="1" applyAlignment="1">
      <alignment vertical="center"/>
    </xf>
    <xf numFmtId="0" fontId="3"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10" fillId="0" borderId="0" xfId="0" applyFont="1" applyFill="1" applyBorder="1" applyAlignment="1">
      <alignment vertical="center" wrapText="1"/>
    </xf>
    <xf numFmtId="0" fontId="10" fillId="0" borderId="11" xfId="0" applyFont="1" applyFill="1" applyBorder="1" applyAlignment="1">
      <alignment vertical="center" wrapText="1"/>
    </xf>
    <xf numFmtId="0" fontId="37" fillId="6" borderId="8" xfId="0" applyFont="1" applyFill="1" applyBorder="1" applyAlignment="1">
      <alignment vertical="center"/>
    </xf>
    <xf numFmtId="0" fontId="37" fillId="6" borderId="9" xfId="0" applyFont="1" applyFill="1" applyBorder="1" applyAlignment="1">
      <alignment vertical="center"/>
    </xf>
    <xf numFmtId="0" fontId="37" fillId="6" borderId="10" xfId="0" applyFont="1" applyFill="1" applyBorder="1" applyAlignment="1">
      <alignment vertical="center"/>
    </xf>
    <xf numFmtId="0" fontId="10" fillId="0" borderId="13" xfId="0" applyFont="1" applyFill="1" applyBorder="1" applyAlignment="1">
      <alignment horizontal="center" vertical="center"/>
    </xf>
    <xf numFmtId="0" fontId="25" fillId="0" borderId="0" xfId="0" applyFont="1" applyFill="1" applyBorder="1" applyAlignment="1">
      <alignment vertical="top" wrapText="1"/>
    </xf>
  </cellXfs>
  <cellStyles count="3">
    <cellStyle name="Lien hypertexte 2" xfId="1" xr:uid="{00000000-0005-0000-0000-000000000000}"/>
    <cellStyle name="Normal" xfId="0" builtinId="0"/>
    <cellStyle name="Normal 2" xfId="2" xr:uid="{00000000-0005-0000-0000-000002000000}"/>
  </cellStyles>
  <dxfs count="2">
    <dxf>
      <font>
        <color theme="1"/>
      </font>
      <fill>
        <patternFill>
          <bgColor theme="6" tint="0.59996337778862885"/>
        </patternFill>
      </fill>
    </dxf>
    <dxf>
      <fill>
        <patternFill>
          <bgColor rgb="FFFF7979"/>
        </patternFill>
      </fill>
    </dxf>
  </dxfs>
  <tableStyles count="2" defaultTableStyle="TableStyleMedium9" defaultPivotStyle="PivotStyleLight16">
    <tableStyle name="Style de tableau 1" pivot="0" count="1" xr9:uid="{00000000-0011-0000-FFFF-FFFF00000000}">
      <tableStyleElement type="wholeTable" dxfId="1"/>
    </tableStyle>
    <tableStyle name="Style de tableau croisé dynamique 1" table="0" count="0" xr9:uid="{00000000-0011-0000-FFFF-FFFF01000000}"/>
  </tableStyles>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Drop" dropLines="6" dropStyle="combo" dx="16" fmlaRange="Acronymes!$A$1:$A$6" noThreeD="1" sel="1" val="0"/>
</file>

<file path=xl/ctrlProps/ctrlProp2.xml><?xml version="1.0" encoding="utf-8"?>
<formControlPr xmlns="http://schemas.microsoft.com/office/spreadsheetml/2009/9/main" objectType="Drop" dropLines="6" dropStyle="combo" dx="16" fmlaRange="Acronymes!$C$1:$C$11" noThreeD="1" sel="1" val="0"/>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3</xdr:col>
      <xdr:colOff>36632</xdr:colOff>
      <xdr:row>8</xdr:row>
      <xdr:rowOff>36636</xdr:rowOff>
    </xdr:from>
    <xdr:to>
      <xdr:col>3</xdr:col>
      <xdr:colOff>5744305</xdr:colOff>
      <xdr:row>8</xdr:row>
      <xdr:rowOff>992106</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4506055" y="5136174"/>
          <a:ext cx="5707673" cy="955470"/>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36632</xdr:colOff>
      <xdr:row>3</xdr:row>
      <xdr:rowOff>36634</xdr:rowOff>
    </xdr:from>
    <xdr:to>
      <xdr:col>3</xdr:col>
      <xdr:colOff>6948632</xdr:colOff>
      <xdr:row>3</xdr:row>
      <xdr:rowOff>1142886</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506055" y="1773115"/>
          <a:ext cx="6912000" cy="1106252"/>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36632</xdr:colOff>
      <xdr:row>4</xdr:row>
      <xdr:rowOff>29308</xdr:rowOff>
    </xdr:from>
    <xdr:to>
      <xdr:col>3</xdr:col>
      <xdr:colOff>6948584</xdr:colOff>
      <xdr:row>4</xdr:row>
      <xdr:rowOff>754673</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4506055" y="2930770"/>
          <a:ext cx="6911952" cy="725365"/>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36632</xdr:colOff>
      <xdr:row>5</xdr:row>
      <xdr:rowOff>29309</xdr:rowOff>
    </xdr:from>
    <xdr:to>
      <xdr:col>3</xdr:col>
      <xdr:colOff>6948632</xdr:colOff>
      <xdr:row>5</xdr:row>
      <xdr:rowOff>806610</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4506055" y="3722078"/>
          <a:ext cx="6912000" cy="777301"/>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36632</xdr:colOff>
      <xdr:row>9</xdr:row>
      <xdr:rowOff>29309</xdr:rowOff>
    </xdr:from>
    <xdr:to>
      <xdr:col>3</xdr:col>
      <xdr:colOff>6948632</xdr:colOff>
      <xdr:row>9</xdr:row>
      <xdr:rowOff>1330179</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5"/>
        <a:stretch>
          <a:fillRect/>
        </a:stretch>
      </xdr:blipFill>
      <xdr:spPr>
        <a:xfrm>
          <a:off x="4506055" y="6117982"/>
          <a:ext cx="6912000" cy="1300870"/>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29307</xdr:colOff>
      <xdr:row>2</xdr:row>
      <xdr:rowOff>36635</xdr:rowOff>
    </xdr:from>
    <xdr:to>
      <xdr:col>3</xdr:col>
      <xdr:colOff>6941307</xdr:colOff>
      <xdr:row>2</xdr:row>
      <xdr:rowOff>1065955</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a:stretch>
          <a:fillRect/>
        </a:stretch>
      </xdr:blipFill>
      <xdr:spPr>
        <a:xfrm>
          <a:off x="4330211" y="249116"/>
          <a:ext cx="6912000" cy="1029320"/>
        </a:xfrm>
        <a:prstGeom prst="rect">
          <a:avLst/>
        </a:prstGeom>
      </xdr:spPr>
    </xdr:pic>
    <xdr:clientData/>
  </xdr:twoCellAnchor>
  <xdr:twoCellAnchor editAs="oneCell">
    <xdr:from>
      <xdr:col>3</xdr:col>
      <xdr:colOff>51289</xdr:colOff>
      <xdr:row>1</xdr:row>
      <xdr:rowOff>21981</xdr:rowOff>
    </xdr:from>
    <xdr:to>
      <xdr:col>3</xdr:col>
      <xdr:colOff>5138349</xdr:colOff>
      <xdr:row>1</xdr:row>
      <xdr:rowOff>364929</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7"/>
        <a:stretch>
          <a:fillRect/>
        </a:stretch>
      </xdr:blipFill>
      <xdr:spPr>
        <a:xfrm>
          <a:off x="4352193" y="234462"/>
          <a:ext cx="5087060" cy="342948"/>
        </a:xfrm>
        <a:prstGeom prst="rect">
          <a:avLst/>
        </a:prstGeom>
      </xdr:spPr>
    </xdr:pic>
    <xdr:clientData/>
  </xdr:twoCellAnchor>
  <xdr:twoCellAnchor editAs="oneCell">
    <xdr:from>
      <xdr:col>3</xdr:col>
      <xdr:colOff>66675</xdr:colOff>
      <xdr:row>6</xdr:row>
      <xdr:rowOff>66675</xdr:rowOff>
    </xdr:from>
    <xdr:to>
      <xdr:col>3</xdr:col>
      <xdr:colOff>5763420</xdr:colOff>
      <xdr:row>6</xdr:row>
      <xdr:rowOff>466781</xdr:rowOff>
    </xdr:to>
    <xdr:pic>
      <xdr:nvPicPr>
        <xdr:cNvPr id="11" name="Imag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8"/>
        <a:stretch>
          <a:fillRect/>
        </a:stretch>
      </xdr:blipFill>
      <xdr:spPr>
        <a:xfrm>
          <a:off x="4362450" y="4638675"/>
          <a:ext cx="5696745" cy="4001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209550</xdr:colOff>
      <xdr:row>4</xdr:row>
      <xdr:rowOff>52916</xdr:rowOff>
    </xdr:to>
    <xdr:pic>
      <xdr:nvPicPr>
        <xdr:cNvPr id="5" name="Image 2" descr="/Users/Yves/Desktop/Logo HEIG-VD_CMJN 9,6x20_4L.pdf">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356338" cy="6683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13</xdr:col>
          <xdr:colOff>352425</xdr:colOff>
          <xdr:row>7</xdr:row>
          <xdr:rowOff>9525</xdr:rowOff>
        </xdr:from>
        <xdr:to>
          <xdr:col>15</xdr:col>
          <xdr:colOff>504825</xdr:colOff>
          <xdr:row>7</xdr:row>
          <xdr:rowOff>238125</xdr:rowOff>
        </xdr:to>
        <xdr:sp macro="" textlink="">
          <xdr:nvSpPr>
            <xdr:cNvPr id="1029" name="Drop Dow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504825</xdr:colOff>
          <xdr:row>7</xdr:row>
          <xdr:rowOff>9525</xdr:rowOff>
        </xdr:from>
        <xdr:to>
          <xdr:col>16</xdr:col>
          <xdr:colOff>685800</xdr:colOff>
          <xdr:row>7</xdr:row>
          <xdr:rowOff>238125</xdr:rowOff>
        </xdr:to>
        <xdr:sp macro="" textlink="">
          <xdr:nvSpPr>
            <xdr:cNvPr id="1030" name="Drop Down 6" descr="Filière"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30</xdr:row>
          <xdr:rowOff>28575</xdr:rowOff>
        </xdr:from>
        <xdr:to>
          <xdr:col>6</xdr:col>
          <xdr:colOff>0</xdr:colOff>
          <xdr:row>31</xdr:row>
          <xdr:rowOff>66675</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31</xdr:row>
          <xdr:rowOff>142875</xdr:rowOff>
        </xdr:from>
        <xdr:to>
          <xdr:col>6</xdr:col>
          <xdr:colOff>0</xdr:colOff>
          <xdr:row>32</xdr:row>
          <xdr:rowOff>180975</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38</xdr:row>
          <xdr:rowOff>19050</xdr:rowOff>
        </xdr:from>
        <xdr:to>
          <xdr:col>12</xdr:col>
          <xdr:colOff>276225</xdr:colOff>
          <xdr:row>38</xdr:row>
          <xdr:rowOff>238125</xdr:rowOff>
        </xdr:to>
        <xdr:sp macro="" textlink="">
          <xdr:nvSpPr>
            <xdr:cNvPr id="1038" name="Option 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38</xdr:row>
          <xdr:rowOff>19050</xdr:rowOff>
        </xdr:from>
        <xdr:to>
          <xdr:col>15</xdr:col>
          <xdr:colOff>85725</xdr:colOff>
          <xdr:row>38</xdr:row>
          <xdr:rowOff>238125</xdr:rowOff>
        </xdr:to>
        <xdr:sp macro="" textlink="">
          <xdr:nvSpPr>
            <xdr:cNvPr id="1039" name="Option 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xdr:rowOff>
    </xdr:from>
    <xdr:to>
      <xdr:col>1</xdr:col>
      <xdr:colOff>627915</xdr:colOff>
      <xdr:row>1</xdr:row>
      <xdr:rowOff>374431</xdr:rowOff>
    </xdr:to>
    <xdr:pic>
      <xdr:nvPicPr>
        <xdr:cNvPr id="2" name="Image 2" descr="/Users/Yves/Desktop/Logo HEIG-VD_CMJN 9,6x20_4L.pd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
          <a:ext cx="2250449" cy="643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627915</xdr:colOff>
      <xdr:row>1</xdr:row>
      <xdr:rowOff>374430</xdr:rowOff>
    </xdr:to>
    <xdr:pic>
      <xdr:nvPicPr>
        <xdr:cNvPr id="2" name="Image 2" descr="/Users/Yves/Desktop/Logo HEIG-VD_CMJN 9,6x20_4L.pdf">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250449" cy="643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627915</xdr:colOff>
      <xdr:row>1</xdr:row>
      <xdr:rowOff>374430</xdr:rowOff>
    </xdr:to>
    <xdr:pic>
      <xdr:nvPicPr>
        <xdr:cNvPr id="2" name="Image 2" descr="/Users/Yves/Desktop/Logo HEIG-VD_CMJN 9,6x20_4L.pdf">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250449" cy="643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D14"/>
  <sheetViews>
    <sheetView tabSelected="1" zoomScaleNormal="100" workbookViewId="0"/>
  </sheetViews>
  <sheetFormatPr baseColWidth="10" defaultRowHeight="15" x14ac:dyDescent="0.2"/>
  <cols>
    <col min="1" max="1" width="19" style="126" customWidth="1"/>
    <col min="2" max="2" width="3.28515625" style="126" bestFit="1" customWidth="1"/>
    <col min="3" max="3" width="42.140625" style="127" customWidth="1"/>
    <col min="4" max="4" width="104.7109375" style="126" customWidth="1"/>
    <col min="5" max="16384" width="11.42578125" style="126"/>
  </cols>
  <sheetData>
    <row r="1" spans="1:4" ht="16.5" customHeight="1" x14ac:dyDescent="0.2">
      <c r="A1" s="128" t="s">
        <v>97</v>
      </c>
      <c r="B1" s="134" t="s">
        <v>109</v>
      </c>
      <c r="C1" s="129" t="s">
        <v>96</v>
      </c>
      <c r="D1" s="131" t="s">
        <v>98</v>
      </c>
    </row>
    <row r="2" spans="1:4" ht="30.75" customHeight="1" x14ac:dyDescent="0.2">
      <c r="A2" s="130" t="s">
        <v>110</v>
      </c>
      <c r="B2" s="135">
        <v>1</v>
      </c>
      <c r="C2" s="129" t="s">
        <v>111</v>
      </c>
      <c r="D2" s="131"/>
    </row>
    <row r="3" spans="1:4" ht="87" customHeight="1" x14ac:dyDescent="0.2">
      <c r="A3" s="137" t="s">
        <v>99</v>
      </c>
      <c r="B3" s="128">
        <v>2</v>
      </c>
      <c r="C3" s="129" t="s">
        <v>129</v>
      </c>
      <c r="D3" s="131"/>
    </row>
    <row r="4" spans="1:4" ht="93.75" customHeight="1" x14ac:dyDescent="0.2">
      <c r="A4" s="138"/>
      <c r="B4" s="128">
        <v>3</v>
      </c>
      <c r="C4" s="129" t="s">
        <v>100</v>
      </c>
      <c r="D4" s="131"/>
    </row>
    <row r="5" spans="1:4" ht="63.75" customHeight="1" x14ac:dyDescent="0.2">
      <c r="A5" s="138"/>
      <c r="B5" s="135">
        <v>4</v>
      </c>
      <c r="C5" s="129" t="s">
        <v>101</v>
      </c>
      <c r="D5" s="131"/>
    </row>
    <row r="6" spans="1:4" ht="68.25" customHeight="1" x14ac:dyDescent="0.2">
      <c r="A6" s="139"/>
      <c r="B6" s="128">
        <v>5</v>
      </c>
      <c r="C6" s="129" t="s">
        <v>137</v>
      </c>
      <c r="D6" s="131"/>
    </row>
    <row r="7" spans="1:4" ht="45" x14ac:dyDescent="0.2">
      <c r="A7" s="133" t="s">
        <v>102</v>
      </c>
      <c r="B7" s="128">
        <v>6</v>
      </c>
      <c r="C7" s="132" t="s">
        <v>106</v>
      </c>
      <c r="D7" s="131"/>
    </row>
    <row r="8" spans="1:4" ht="30" x14ac:dyDescent="0.2">
      <c r="A8" s="130" t="s">
        <v>113</v>
      </c>
      <c r="B8" s="128">
        <v>7</v>
      </c>
      <c r="C8" s="141" t="s">
        <v>138</v>
      </c>
      <c r="D8" s="142"/>
    </row>
    <row r="9" spans="1:4" ht="83.25" customHeight="1" x14ac:dyDescent="0.2">
      <c r="A9" s="137" t="s">
        <v>103</v>
      </c>
      <c r="B9" s="128">
        <v>8</v>
      </c>
      <c r="C9" s="129" t="s">
        <v>114</v>
      </c>
      <c r="D9" s="131"/>
    </row>
    <row r="10" spans="1:4" ht="109.5" customHeight="1" x14ac:dyDescent="0.2">
      <c r="A10" s="138"/>
      <c r="B10" s="128">
        <v>9</v>
      </c>
      <c r="C10" s="129" t="s">
        <v>104</v>
      </c>
      <c r="D10" s="131"/>
    </row>
    <row r="11" spans="1:4" ht="18" customHeight="1" x14ac:dyDescent="0.2">
      <c r="A11" s="138"/>
      <c r="B11" s="128">
        <v>10</v>
      </c>
      <c r="C11" s="141" t="s">
        <v>105</v>
      </c>
      <c r="D11" s="142"/>
    </row>
    <row r="12" spans="1:4" ht="18" customHeight="1" x14ac:dyDescent="0.2">
      <c r="A12" s="138"/>
      <c r="B12" s="128">
        <v>11</v>
      </c>
      <c r="C12" s="141" t="s">
        <v>112</v>
      </c>
      <c r="D12" s="142"/>
    </row>
    <row r="13" spans="1:4" ht="18" customHeight="1" x14ac:dyDescent="0.2">
      <c r="A13" s="139"/>
      <c r="B13" s="128">
        <v>12</v>
      </c>
      <c r="C13" s="141" t="s">
        <v>128</v>
      </c>
      <c r="D13" s="142"/>
    </row>
    <row r="14" spans="1:4" ht="17.25" customHeight="1" x14ac:dyDescent="0.25">
      <c r="A14" s="140" t="s">
        <v>139</v>
      </c>
      <c r="B14" s="140"/>
      <c r="C14" s="140"/>
      <c r="D14" s="140"/>
    </row>
  </sheetData>
  <mergeCells count="7">
    <mergeCell ref="A3:A6"/>
    <mergeCell ref="A14:D14"/>
    <mergeCell ref="A9:A13"/>
    <mergeCell ref="C11:D11"/>
    <mergeCell ref="C12:D12"/>
    <mergeCell ref="C13:D13"/>
    <mergeCell ref="C8:D8"/>
  </mergeCells>
  <printOptions horizontalCentered="1"/>
  <pageMargins left="0.70866141732283472" right="0.70866141732283472" top="0.94488188976377963" bottom="0.74803149606299213" header="0.31496062992125984" footer="0.31496062992125984"/>
  <pageSetup paperSize="8" fitToHeight="0" orientation="landscape" horizontalDpi="1200" verticalDpi="1200" r:id="rId1"/>
  <headerFooter>
    <oddHeader>&amp;C&amp;"Calibri,Normal"&amp;12Grilles d'évaluation des travaux de Bachelor
Marche à suivre</oddHeader>
    <oddFooter>&amp;L&amp;"Calibri Light,Normal"&amp;9&amp;D&amp;C&amp;"Calibri Light,Normal"&amp;11p. &amp;P/&amp;N&amp;R&amp;"Calibri Light,Normal"&amp;9&amp;F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tabColor theme="9" tint="0.39997558519241921"/>
    <pageSetUpPr fitToPage="1"/>
  </sheetPr>
  <dimension ref="A1:S55"/>
  <sheetViews>
    <sheetView zoomScale="130" zoomScaleNormal="130" zoomScaleSheetLayoutView="90" zoomScalePageLayoutView="115" workbookViewId="0">
      <selection activeCell="B8" sqref="B8:M8"/>
    </sheetView>
  </sheetViews>
  <sheetFormatPr baseColWidth="10" defaultColWidth="11.42578125" defaultRowHeight="15.75" x14ac:dyDescent="0.25"/>
  <cols>
    <col min="1" max="1" width="23.5703125" style="9" customWidth="1"/>
    <col min="2" max="6" width="4.28515625" style="9" customWidth="1"/>
    <col min="7" max="7" width="6" style="9" customWidth="1"/>
    <col min="8" max="9" width="4.28515625" style="9" customWidth="1"/>
    <col min="10" max="10" width="15.85546875" style="9" customWidth="1"/>
    <col min="11" max="11" width="0.85546875" style="73" customWidth="1"/>
    <col min="12" max="12" width="7.85546875" style="9" customWidth="1"/>
    <col min="13" max="13" width="6.7109375" style="9" customWidth="1"/>
    <col min="14" max="14" width="8.140625" style="9" customWidth="1"/>
    <col min="15" max="15" width="4.7109375" style="9" customWidth="1"/>
    <col min="16" max="16" width="12.28515625" style="9" customWidth="1"/>
    <col min="17" max="17" width="10.42578125" style="9" customWidth="1"/>
    <col min="18" max="18" width="4" style="9" customWidth="1"/>
    <col min="19" max="19" width="11.42578125" style="8"/>
    <col min="20" max="16384" width="11.42578125" style="9"/>
  </cols>
  <sheetData>
    <row r="1" spans="1:19" ht="12" customHeight="1" x14ac:dyDescent="0.25">
      <c r="A1" s="3"/>
      <c r="B1" s="4"/>
      <c r="C1" s="4"/>
      <c r="D1" s="4"/>
      <c r="E1" s="4"/>
      <c r="F1" s="4"/>
      <c r="G1" s="4"/>
      <c r="H1" s="4"/>
      <c r="I1" s="4"/>
      <c r="J1" s="4"/>
      <c r="K1" s="5"/>
      <c r="L1" s="4"/>
      <c r="M1" s="4"/>
      <c r="N1" s="4"/>
      <c r="O1" s="4"/>
      <c r="P1" s="4"/>
      <c r="Q1" s="6"/>
      <c r="R1" s="7"/>
    </row>
    <row r="2" spans="1:19" ht="12" customHeight="1" x14ac:dyDescent="0.25">
      <c r="A2" s="10"/>
      <c r="B2" s="11"/>
      <c r="C2" s="11"/>
      <c r="D2" s="11"/>
      <c r="E2" s="11"/>
      <c r="F2" s="11"/>
      <c r="G2" s="11"/>
      <c r="H2" s="11"/>
      <c r="I2" s="11"/>
      <c r="J2" s="11"/>
      <c r="K2" s="12"/>
      <c r="L2" s="11"/>
      <c r="M2" s="11"/>
      <c r="N2" s="11"/>
      <c r="O2" s="11"/>
      <c r="P2" s="11"/>
      <c r="Q2" s="77" t="s">
        <v>25</v>
      </c>
      <c r="R2" s="7"/>
    </row>
    <row r="3" spans="1:19" ht="12" customHeight="1" x14ac:dyDescent="0.25">
      <c r="A3" s="10"/>
      <c r="B3" s="11"/>
      <c r="C3" s="11"/>
      <c r="D3" s="11"/>
      <c r="E3" s="11"/>
      <c r="F3" s="11"/>
      <c r="G3" s="11"/>
      <c r="H3" s="11"/>
      <c r="I3" s="11"/>
      <c r="J3" s="11"/>
      <c r="K3" s="12"/>
      <c r="L3" s="11"/>
      <c r="M3" s="11"/>
      <c r="N3" s="11"/>
      <c r="O3" s="11"/>
      <c r="P3" s="11"/>
      <c r="Q3" s="13"/>
      <c r="R3" s="7"/>
    </row>
    <row r="4" spans="1:19" ht="12" customHeight="1" x14ac:dyDescent="0.25">
      <c r="A4" s="10"/>
      <c r="B4" s="11"/>
      <c r="C4" s="11"/>
      <c r="D4" s="11"/>
      <c r="E4" s="11"/>
      <c r="F4" s="11"/>
      <c r="G4" s="11"/>
      <c r="H4" s="11"/>
      <c r="I4" s="11"/>
      <c r="J4" s="11"/>
      <c r="K4" s="12"/>
      <c r="L4" s="11"/>
      <c r="M4" s="11"/>
      <c r="N4" s="11"/>
      <c r="O4" s="11"/>
      <c r="P4" s="11"/>
      <c r="Q4" s="13"/>
      <c r="R4" s="7"/>
    </row>
    <row r="5" spans="1:19" ht="12" customHeight="1" x14ac:dyDescent="0.25">
      <c r="A5" s="10"/>
      <c r="B5" s="11"/>
      <c r="C5" s="11"/>
      <c r="D5" s="11"/>
      <c r="E5" s="11"/>
      <c r="F5" s="11"/>
      <c r="G5" s="11"/>
      <c r="H5" s="11"/>
      <c r="I5" s="11"/>
      <c r="J5" s="11"/>
      <c r="K5" s="12"/>
      <c r="L5" s="11"/>
      <c r="M5" s="11"/>
      <c r="N5" s="11"/>
      <c r="O5" s="11"/>
      <c r="P5" s="11"/>
      <c r="Q5" s="13"/>
      <c r="R5" s="7"/>
    </row>
    <row r="6" spans="1:19" ht="18" customHeight="1" x14ac:dyDescent="0.2">
      <c r="A6" s="175" t="s">
        <v>39</v>
      </c>
      <c r="B6" s="176"/>
      <c r="C6" s="176"/>
      <c r="D6" s="176"/>
      <c r="E6" s="176"/>
      <c r="F6" s="176"/>
      <c r="G6" s="176"/>
      <c r="H6" s="176"/>
      <c r="I6" s="176"/>
      <c r="J6" s="176"/>
      <c r="K6" s="176"/>
      <c r="L6" s="176"/>
      <c r="M6" s="176"/>
      <c r="N6" s="176"/>
      <c r="O6" s="176"/>
      <c r="P6" s="176"/>
      <c r="Q6" s="177"/>
      <c r="R6" s="7"/>
    </row>
    <row r="7" spans="1:19" ht="12" customHeight="1" x14ac:dyDescent="0.25">
      <c r="A7" s="14"/>
      <c r="B7" s="15"/>
      <c r="C7" s="15"/>
      <c r="D7" s="15"/>
      <c r="E7" s="15"/>
      <c r="F7" s="15"/>
      <c r="G7" s="15"/>
      <c r="H7" s="15"/>
      <c r="I7" s="15"/>
      <c r="J7" s="15"/>
      <c r="K7" s="16"/>
      <c r="L7" s="15"/>
      <c r="M7" s="15"/>
      <c r="N7" s="15"/>
      <c r="O7" s="15"/>
      <c r="P7" s="15"/>
      <c r="Q7" s="17"/>
      <c r="R7" s="7"/>
    </row>
    <row r="8" spans="1:19" ht="18.75" customHeight="1" x14ac:dyDescent="0.2">
      <c r="A8" s="74" t="s">
        <v>82</v>
      </c>
      <c r="B8" s="159" t="s">
        <v>69</v>
      </c>
      <c r="C8" s="159"/>
      <c r="D8" s="159"/>
      <c r="E8" s="159"/>
      <c r="F8" s="159"/>
      <c r="G8" s="159"/>
      <c r="H8" s="159"/>
      <c r="I8" s="159"/>
      <c r="J8" s="159"/>
      <c r="K8" s="159"/>
      <c r="L8" s="159"/>
      <c r="M8" s="159"/>
      <c r="N8" s="143"/>
      <c r="O8" s="143"/>
      <c r="P8" s="143"/>
      <c r="Q8" s="144"/>
      <c r="R8" s="18"/>
    </row>
    <row r="9" spans="1:19" ht="37.5" customHeight="1" x14ac:dyDescent="0.2">
      <c r="A9" s="120" t="s">
        <v>26</v>
      </c>
      <c r="B9" s="184" t="s">
        <v>70</v>
      </c>
      <c r="C9" s="184"/>
      <c r="D9" s="184"/>
      <c r="E9" s="184"/>
      <c r="F9" s="184"/>
      <c r="G9" s="184"/>
      <c r="H9" s="184"/>
      <c r="I9" s="184"/>
      <c r="J9" s="184"/>
      <c r="K9" s="184"/>
      <c r="L9" s="184"/>
      <c r="M9" s="184"/>
      <c r="N9" s="184"/>
      <c r="O9" s="184"/>
      <c r="P9" s="184"/>
      <c r="Q9" s="185"/>
      <c r="R9" s="7"/>
    </row>
    <row r="10" spans="1:19" ht="18.75" customHeight="1" x14ac:dyDescent="0.2">
      <c r="A10" s="74" t="s">
        <v>83</v>
      </c>
      <c r="B10" s="145" t="s">
        <v>69</v>
      </c>
      <c r="C10" s="145"/>
      <c r="D10" s="145"/>
      <c r="E10" s="145"/>
      <c r="F10" s="145"/>
      <c r="G10" s="145"/>
      <c r="H10" s="145"/>
      <c r="I10" s="145"/>
      <c r="J10" s="145"/>
      <c r="K10" s="145"/>
      <c r="L10" s="145"/>
      <c r="M10" s="145"/>
      <c r="N10" s="145"/>
      <c r="O10" s="145"/>
      <c r="P10" s="145"/>
      <c r="Q10" s="146"/>
      <c r="R10" s="7"/>
    </row>
    <row r="11" spans="1:19" ht="18.75" customHeight="1" x14ac:dyDescent="0.2">
      <c r="A11" s="74" t="s">
        <v>84</v>
      </c>
      <c r="B11" s="145" t="s">
        <v>69</v>
      </c>
      <c r="C11" s="145"/>
      <c r="D11" s="145"/>
      <c r="E11" s="145"/>
      <c r="F11" s="145"/>
      <c r="G11" s="145"/>
      <c r="H11" s="145"/>
      <c r="I11" s="145"/>
      <c r="J11" s="145"/>
      <c r="K11" s="145"/>
      <c r="L11" s="145"/>
      <c r="M11" s="145"/>
      <c r="N11" s="145"/>
      <c r="O11" s="145"/>
      <c r="P11" s="145"/>
      <c r="Q11" s="146"/>
      <c r="R11" s="7"/>
    </row>
    <row r="12" spans="1:19" ht="9" customHeight="1" x14ac:dyDescent="0.25">
      <c r="A12" s="14"/>
      <c r="B12" s="19"/>
      <c r="C12" s="19"/>
      <c r="D12" s="19"/>
      <c r="E12" s="19"/>
      <c r="F12" s="19"/>
      <c r="G12" s="19"/>
      <c r="H12" s="19"/>
      <c r="I12" s="19"/>
      <c r="J12" s="19"/>
      <c r="K12" s="20"/>
      <c r="L12" s="19"/>
      <c r="M12" s="19"/>
      <c r="N12" s="19"/>
      <c r="O12" s="19"/>
      <c r="P12" s="19"/>
      <c r="Q12" s="21"/>
      <c r="R12" s="7"/>
    </row>
    <row r="13" spans="1:19" ht="48" customHeight="1" x14ac:dyDescent="0.25">
      <c r="A13" s="153" t="s">
        <v>0</v>
      </c>
      <c r="B13" s="154"/>
      <c r="C13" s="154"/>
      <c r="D13" s="154"/>
      <c r="E13" s="154"/>
      <c r="F13" s="154"/>
      <c r="G13" s="154"/>
      <c r="H13" s="154"/>
      <c r="I13" s="154"/>
      <c r="J13" s="154"/>
      <c r="K13" s="75"/>
      <c r="L13" s="149" t="s">
        <v>48</v>
      </c>
      <c r="M13" s="150"/>
      <c r="N13" s="149" t="s">
        <v>85</v>
      </c>
      <c r="O13" s="150"/>
      <c r="P13" s="76" t="s">
        <v>86</v>
      </c>
      <c r="Q13" s="76" t="s">
        <v>1</v>
      </c>
      <c r="R13" s="7"/>
    </row>
    <row r="14" spans="1:19" s="27" customFormat="1" ht="12" customHeight="1" x14ac:dyDescent="0.2">
      <c r="A14" s="22"/>
      <c r="B14" s="23"/>
      <c r="C14" s="23"/>
      <c r="D14" s="23"/>
      <c r="E14" s="23"/>
      <c r="F14" s="23"/>
      <c r="G14" s="23"/>
      <c r="H14" s="23"/>
      <c r="I14" s="23"/>
      <c r="J14" s="23"/>
      <c r="K14" s="24"/>
      <c r="L14" s="84"/>
      <c r="M14" s="84"/>
      <c r="N14" s="186" t="s">
        <v>7</v>
      </c>
      <c r="O14" s="186"/>
      <c r="P14" s="186"/>
      <c r="Q14" s="187"/>
      <c r="R14" s="25"/>
      <c r="S14" s="26"/>
    </row>
    <row r="15" spans="1:19" s="27" customFormat="1" ht="11.25" customHeight="1" x14ac:dyDescent="0.2">
      <c r="A15" s="201" t="s">
        <v>42</v>
      </c>
      <c r="B15" s="202"/>
      <c r="C15" s="202"/>
      <c r="D15" s="202"/>
      <c r="E15" s="202"/>
      <c r="F15" s="202"/>
      <c r="G15" s="202"/>
      <c r="H15" s="202"/>
      <c r="I15" s="202"/>
      <c r="J15" s="202"/>
      <c r="K15" s="202"/>
      <c r="L15" s="202"/>
      <c r="M15" s="202"/>
      <c r="N15" s="202"/>
      <c r="O15" s="202"/>
      <c r="P15" s="202"/>
      <c r="Q15" s="203"/>
      <c r="R15" s="25"/>
      <c r="S15" s="26"/>
    </row>
    <row r="16" spans="1:19" ht="27.95" customHeight="1" x14ac:dyDescent="0.25">
      <c r="A16" s="160" t="s">
        <v>8</v>
      </c>
      <c r="B16" s="161"/>
      <c r="C16" s="161"/>
      <c r="D16" s="161"/>
      <c r="E16" s="161"/>
      <c r="F16" s="161"/>
      <c r="G16" s="161"/>
      <c r="H16" s="161"/>
      <c r="I16" s="161"/>
      <c r="J16" s="161"/>
      <c r="K16" s="28"/>
      <c r="L16" s="164">
        <v>0.1</v>
      </c>
      <c r="M16" s="165"/>
      <c r="N16" s="191"/>
      <c r="O16" s="192"/>
      <c r="P16" s="182"/>
      <c r="Q16" s="155">
        <f>IF(N16&lt;&gt;"",AVERAGE(N16,P16),0)</f>
        <v>0</v>
      </c>
      <c r="R16" s="7"/>
    </row>
    <row r="17" spans="1:19" ht="27.95" customHeight="1" x14ac:dyDescent="0.2">
      <c r="A17" s="162"/>
      <c r="B17" s="163"/>
      <c r="C17" s="163"/>
      <c r="D17" s="163"/>
      <c r="E17" s="163"/>
      <c r="F17" s="163"/>
      <c r="G17" s="163"/>
      <c r="H17" s="163"/>
      <c r="I17" s="163"/>
      <c r="J17" s="163"/>
      <c r="K17" s="29"/>
      <c r="L17" s="151" t="s">
        <v>12</v>
      </c>
      <c r="M17" s="152"/>
      <c r="N17" s="193"/>
      <c r="O17" s="194"/>
      <c r="P17" s="183"/>
      <c r="Q17" s="156"/>
      <c r="R17" s="7"/>
    </row>
    <row r="18" spans="1:19" ht="12" customHeight="1" x14ac:dyDescent="0.2">
      <c r="A18" s="201" t="s">
        <v>43</v>
      </c>
      <c r="B18" s="202"/>
      <c r="C18" s="202"/>
      <c r="D18" s="202"/>
      <c r="E18" s="202"/>
      <c r="F18" s="202"/>
      <c r="G18" s="202"/>
      <c r="H18" s="202"/>
      <c r="I18" s="202"/>
      <c r="J18" s="202"/>
      <c r="K18" s="202"/>
      <c r="L18" s="202"/>
      <c r="M18" s="202"/>
      <c r="N18" s="202"/>
      <c r="O18" s="202"/>
      <c r="P18" s="202"/>
      <c r="Q18" s="203"/>
      <c r="R18" s="7"/>
    </row>
    <row r="19" spans="1:19" ht="27.95" customHeight="1" x14ac:dyDescent="0.25">
      <c r="A19" s="160" t="s">
        <v>9</v>
      </c>
      <c r="B19" s="161"/>
      <c r="C19" s="161"/>
      <c r="D19" s="161"/>
      <c r="E19" s="161"/>
      <c r="F19" s="161"/>
      <c r="G19" s="161"/>
      <c r="H19" s="161"/>
      <c r="I19" s="161"/>
      <c r="J19" s="161"/>
      <c r="K19" s="28"/>
      <c r="L19" s="164">
        <v>0.15</v>
      </c>
      <c r="M19" s="165"/>
      <c r="N19" s="191"/>
      <c r="O19" s="192"/>
      <c r="P19" s="182"/>
      <c r="Q19" s="155">
        <f>IF(N19&lt;&gt;"",AVERAGE(N19,P19),0)</f>
        <v>0</v>
      </c>
      <c r="R19" s="7"/>
    </row>
    <row r="20" spans="1:19" ht="27.95" customHeight="1" x14ac:dyDescent="0.25">
      <c r="A20" s="162"/>
      <c r="B20" s="163"/>
      <c r="C20" s="163"/>
      <c r="D20" s="163"/>
      <c r="E20" s="163"/>
      <c r="F20" s="163"/>
      <c r="G20" s="163"/>
      <c r="H20" s="163"/>
      <c r="I20" s="163"/>
      <c r="J20" s="163"/>
      <c r="K20" s="30"/>
      <c r="L20" s="151" t="s">
        <v>13</v>
      </c>
      <c r="M20" s="152"/>
      <c r="N20" s="193"/>
      <c r="O20" s="194"/>
      <c r="P20" s="183"/>
      <c r="Q20" s="156"/>
      <c r="R20" s="7"/>
    </row>
    <row r="21" spans="1:19" ht="27.95" customHeight="1" x14ac:dyDescent="0.35">
      <c r="A21" s="160" t="s">
        <v>10</v>
      </c>
      <c r="B21" s="161"/>
      <c r="C21" s="161"/>
      <c r="D21" s="161"/>
      <c r="E21" s="161"/>
      <c r="F21" s="161"/>
      <c r="G21" s="161"/>
      <c r="H21" s="161"/>
      <c r="I21" s="161"/>
      <c r="J21" s="161"/>
      <c r="K21" s="31"/>
      <c r="L21" s="164">
        <v>0.15</v>
      </c>
      <c r="M21" s="165"/>
      <c r="N21" s="191"/>
      <c r="O21" s="192"/>
      <c r="P21" s="180"/>
      <c r="Q21" s="155">
        <f>IF(N21&lt;&gt;"",AVERAGE(N21,P21),0)</f>
        <v>0</v>
      </c>
      <c r="R21" s="7"/>
    </row>
    <row r="22" spans="1:19" ht="27.95" customHeight="1" x14ac:dyDescent="0.25">
      <c r="A22" s="162"/>
      <c r="B22" s="163"/>
      <c r="C22" s="163"/>
      <c r="D22" s="163"/>
      <c r="E22" s="163"/>
      <c r="F22" s="163"/>
      <c r="G22" s="163"/>
      <c r="H22" s="163"/>
      <c r="I22" s="163"/>
      <c r="J22" s="163"/>
      <c r="K22" s="30"/>
      <c r="L22" s="151" t="s">
        <v>13</v>
      </c>
      <c r="M22" s="152"/>
      <c r="N22" s="193"/>
      <c r="O22" s="194"/>
      <c r="P22" s="181"/>
      <c r="Q22" s="156"/>
      <c r="R22" s="7"/>
    </row>
    <row r="23" spans="1:19" ht="27.95" customHeight="1" x14ac:dyDescent="0.25">
      <c r="A23" s="160" t="s">
        <v>16</v>
      </c>
      <c r="B23" s="161"/>
      <c r="C23" s="161"/>
      <c r="D23" s="161"/>
      <c r="E23" s="161"/>
      <c r="F23" s="161"/>
      <c r="G23" s="161"/>
      <c r="H23" s="161"/>
      <c r="I23" s="161"/>
      <c r="J23" s="161"/>
      <c r="K23" s="32"/>
      <c r="L23" s="164">
        <v>0.2</v>
      </c>
      <c r="M23" s="165"/>
      <c r="N23" s="191"/>
      <c r="O23" s="192"/>
      <c r="P23" s="180"/>
      <c r="Q23" s="155">
        <f>IF(N23&lt;&gt;"",AVERAGE(N23,P23),0)</f>
        <v>0</v>
      </c>
      <c r="R23" s="7"/>
    </row>
    <row r="24" spans="1:19" ht="27.95" customHeight="1" x14ac:dyDescent="0.25">
      <c r="A24" s="162"/>
      <c r="B24" s="163"/>
      <c r="C24" s="163"/>
      <c r="D24" s="163"/>
      <c r="E24" s="163"/>
      <c r="F24" s="163"/>
      <c r="G24" s="163"/>
      <c r="H24" s="163"/>
      <c r="I24" s="163"/>
      <c r="J24" s="163"/>
      <c r="K24" s="32"/>
      <c r="L24" s="151" t="s">
        <v>14</v>
      </c>
      <c r="M24" s="152"/>
      <c r="N24" s="193"/>
      <c r="O24" s="194"/>
      <c r="P24" s="181"/>
      <c r="Q24" s="156"/>
      <c r="R24" s="7"/>
    </row>
    <row r="25" spans="1:19" ht="27.95" customHeight="1" x14ac:dyDescent="0.25">
      <c r="A25" s="160" t="s">
        <v>11</v>
      </c>
      <c r="B25" s="161"/>
      <c r="C25" s="161"/>
      <c r="D25" s="161"/>
      <c r="E25" s="161"/>
      <c r="F25" s="161"/>
      <c r="G25" s="161"/>
      <c r="H25" s="161"/>
      <c r="I25" s="161"/>
      <c r="J25" s="161"/>
      <c r="K25" s="28"/>
      <c r="L25" s="164">
        <v>0.15</v>
      </c>
      <c r="M25" s="165"/>
      <c r="N25" s="191">
        <f>'Évaluation orale Enseignant·e'!C78/10</f>
        <v>1</v>
      </c>
      <c r="O25" s="192"/>
      <c r="P25" s="180">
        <f>'Évaluation orale Expert·e'!C78/10</f>
        <v>1</v>
      </c>
      <c r="Q25" s="155">
        <f>IF(N25&lt;&gt;"",AVERAGE(N25,P25),0)</f>
        <v>1</v>
      </c>
      <c r="R25" s="7"/>
    </row>
    <row r="26" spans="1:19" ht="27.95" customHeight="1" x14ac:dyDescent="0.25">
      <c r="A26" s="162"/>
      <c r="B26" s="163"/>
      <c r="C26" s="163"/>
      <c r="D26" s="163"/>
      <c r="E26" s="163"/>
      <c r="F26" s="163"/>
      <c r="G26" s="163"/>
      <c r="H26" s="163"/>
      <c r="I26" s="163"/>
      <c r="J26" s="163"/>
      <c r="K26" s="30"/>
      <c r="L26" s="151" t="s">
        <v>13</v>
      </c>
      <c r="M26" s="152"/>
      <c r="N26" s="193"/>
      <c r="O26" s="194"/>
      <c r="P26" s="181"/>
      <c r="Q26" s="156"/>
      <c r="R26" s="7"/>
    </row>
    <row r="27" spans="1:19" ht="4.5" customHeight="1" x14ac:dyDescent="0.25">
      <c r="A27" s="33"/>
      <c r="B27" s="34"/>
      <c r="C27" s="34"/>
      <c r="D27" s="34"/>
      <c r="E27" s="34"/>
      <c r="F27" s="34"/>
      <c r="G27" s="34"/>
      <c r="H27" s="34"/>
      <c r="I27" s="34"/>
      <c r="J27" s="34"/>
      <c r="K27" s="35"/>
      <c r="L27" s="79"/>
      <c r="M27" s="79"/>
      <c r="N27" s="36"/>
      <c r="O27" s="36"/>
      <c r="P27" s="36"/>
      <c r="Q27" s="1"/>
      <c r="R27" s="7"/>
    </row>
    <row r="28" spans="1:19" ht="21" customHeight="1" thickBot="1" x14ac:dyDescent="0.25">
      <c r="A28" s="157" t="s">
        <v>40</v>
      </c>
      <c r="B28" s="158"/>
      <c r="C28" s="158"/>
      <c r="D28" s="158"/>
      <c r="E28" s="158"/>
      <c r="F28" s="158"/>
      <c r="G28" s="158"/>
      <c r="H28" s="158"/>
      <c r="I28" s="158"/>
      <c r="J28" s="158"/>
      <c r="K28" s="37"/>
      <c r="L28" s="166">
        <f>MAX(L25,0.15)+MAX(L23,0.2)+MAX(L21,0.15)+MAX(L19,0.15)+MAX(L16,0.1)</f>
        <v>0.75</v>
      </c>
      <c r="M28" s="167"/>
      <c r="N28" s="147"/>
      <c r="O28" s="148"/>
      <c r="P28" s="148"/>
      <c r="Q28" s="2">
        <f>IF(Q16="","",(MAX(L16,0.1)*Q16+MAX(L19,0.15)*Q19+MAX(L21,0.15)*Q21+MAX(L23,0.2)*Q23+MAX(L25,0.15)*Q25)/(MAX(L16,0.1)+MAX(L19,0.15)+MAX(L21,0.15)+MAX(L23,0.2)+MAX(L25,0.15)))</f>
        <v>0.19999999999999996</v>
      </c>
      <c r="R28" s="18" t="s">
        <v>17</v>
      </c>
    </row>
    <row r="29" spans="1:19" s="40" customFormat="1" ht="25.5" customHeight="1" thickBot="1" x14ac:dyDescent="0.35">
      <c r="A29" s="188" t="s">
        <v>41</v>
      </c>
      <c r="B29" s="189"/>
      <c r="C29" s="189"/>
      <c r="D29" s="189"/>
      <c r="E29" s="189"/>
      <c r="F29" s="189"/>
      <c r="G29" s="189"/>
      <c r="H29" s="189"/>
      <c r="I29" s="189"/>
      <c r="J29" s="189"/>
      <c r="K29" s="189"/>
      <c r="L29" s="189"/>
      <c r="M29" s="189"/>
      <c r="N29" s="189"/>
      <c r="O29" s="189"/>
      <c r="P29" s="190"/>
      <c r="Q29" s="119"/>
      <c r="R29" s="38"/>
      <c r="S29" s="39"/>
    </row>
    <row r="30" spans="1:19" s="40" customFormat="1" ht="15" customHeight="1" x14ac:dyDescent="0.3">
      <c r="A30" s="41"/>
      <c r="B30" s="41"/>
      <c r="C30" s="41"/>
      <c r="D30" s="41"/>
      <c r="E30" s="41"/>
      <c r="F30" s="41"/>
      <c r="G30" s="41"/>
      <c r="H30" s="41"/>
      <c r="I30" s="41"/>
      <c r="J30" s="41"/>
      <c r="K30" s="41"/>
      <c r="L30" s="41"/>
      <c r="M30" s="41"/>
      <c r="N30" s="41"/>
      <c r="O30" s="41"/>
      <c r="P30" s="41"/>
      <c r="Q30" s="42"/>
      <c r="R30" s="38"/>
      <c r="S30" s="39"/>
    </row>
    <row r="31" spans="1:19" s="40" customFormat="1" ht="15" customHeight="1" x14ac:dyDescent="0.3">
      <c r="A31" s="169" t="s">
        <v>46</v>
      </c>
      <c r="B31" s="170"/>
      <c r="C31" s="170"/>
      <c r="D31" s="170"/>
      <c r="E31" s="170"/>
      <c r="F31" s="41"/>
      <c r="G31" s="173"/>
      <c r="H31" s="173"/>
      <c r="I31" s="41"/>
      <c r="K31" s="43"/>
      <c r="L31" s="80" t="s">
        <v>19</v>
      </c>
      <c r="M31" s="44"/>
      <c r="N31" s="44"/>
      <c r="O31" s="44"/>
      <c r="P31" s="45"/>
      <c r="Q31" s="46" t="s">
        <v>18</v>
      </c>
      <c r="R31" s="39"/>
    </row>
    <row r="32" spans="1:19" s="40" customFormat="1" ht="15" customHeight="1" x14ac:dyDescent="0.3">
      <c r="A32" s="41"/>
      <c r="B32" s="41"/>
      <c r="C32" s="41"/>
      <c r="D32" s="41"/>
      <c r="E32" s="41"/>
      <c r="F32" s="41"/>
      <c r="G32" s="41"/>
      <c r="H32" s="41"/>
      <c r="I32" s="41"/>
      <c r="J32" s="41"/>
      <c r="K32" s="47"/>
      <c r="L32" s="48" t="s">
        <v>2</v>
      </c>
      <c r="M32" s="41"/>
      <c r="N32" s="41"/>
      <c r="O32" s="41"/>
      <c r="P32" s="42"/>
      <c r="Q32" s="49"/>
      <c r="R32" s="39"/>
    </row>
    <row r="33" spans="1:19" s="40" customFormat="1" ht="15" customHeight="1" x14ac:dyDescent="0.2">
      <c r="A33" s="170" t="s">
        <v>47</v>
      </c>
      <c r="B33" s="170"/>
      <c r="C33" s="170"/>
      <c r="D33" s="170"/>
      <c r="E33" s="170"/>
      <c r="F33" s="41"/>
      <c r="G33" s="173"/>
      <c r="H33" s="173"/>
      <c r="I33" s="41"/>
      <c r="K33" s="50"/>
      <c r="L33" s="51" t="s">
        <v>20</v>
      </c>
      <c r="M33" s="51"/>
      <c r="N33" s="51"/>
      <c r="O33" s="56" t="s">
        <v>4</v>
      </c>
      <c r="P33" s="51"/>
      <c r="Q33" s="53"/>
    </row>
    <row r="34" spans="1:19" s="54" customFormat="1" ht="15" customHeight="1" x14ac:dyDescent="0.2">
      <c r="B34" s="55"/>
      <c r="C34" s="55"/>
      <c r="D34" s="55"/>
      <c r="E34" s="55"/>
      <c r="F34" s="55"/>
      <c r="G34" s="55"/>
      <c r="H34" s="55"/>
      <c r="I34" s="55"/>
      <c r="J34" s="55"/>
      <c r="K34" s="50"/>
      <c r="L34" s="171" t="s">
        <v>21</v>
      </c>
      <c r="M34" s="171"/>
      <c r="N34" s="171"/>
      <c r="O34" s="52" t="s">
        <v>6</v>
      </c>
      <c r="P34" s="51"/>
      <c r="Q34" s="57"/>
    </row>
    <row r="35" spans="1:19" s="54" customFormat="1" ht="15" customHeight="1" x14ac:dyDescent="0.2">
      <c r="B35" s="58"/>
      <c r="C35" s="58"/>
      <c r="D35" s="58"/>
      <c r="E35" s="58"/>
      <c r="F35" s="58"/>
      <c r="G35" s="58"/>
      <c r="H35" s="58"/>
      <c r="I35" s="58"/>
      <c r="J35" s="58"/>
      <c r="K35" s="50"/>
      <c r="L35" s="171" t="s">
        <v>22</v>
      </c>
      <c r="M35" s="171"/>
      <c r="N35" s="171"/>
      <c r="O35" s="52" t="s">
        <v>5</v>
      </c>
      <c r="P35" s="51"/>
      <c r="Q35" s="57"/>
    </row>
    <row r="36" spans="1:19" s="54" customFormat="1" ht="15" customHeight="1" x14ac:dyDescent="0.2">
      <c r="A36" s="58"/>
      <c r="J36" s="58"/>
      <c r="K36" s="59"/>
      <c r="L36" s="172" t="s">
        <v>3</v>
      </c>
      <c r="M36" s="172"/>
      <c r="N36" s="172"/>
      <c r="O36" s="60"/>
      <c r="P36" s="61"/>
      <c r="Q36" s="62"/>
    </row>
    <row r="37" spans="1:19" s="54" customFormat="1" ht="6" customHeight="1" x14ac:dyDescent="0.2">
      <c r="A37" s="58"/>
      <c r="J37" s="58"/>
      <c r="K37" s="51"/>
      <c r="L37" s="85"/>
      <c r="M37" s="85"/>
      <c r="N37" s="85"/>
      <c r="O37" s="85"/>
      <c r="P37" s="51"/>
      <c r="Q37" s="86"/>
    </row>
    <row r="38" spans="1:19" s="65" customFormat="1" ht="42" customHeight="1" x14ac:dyDescent="0.25">
      <c r="A38" s="179" t="s">
        <v>90</v>
      </c>
      <c r="B38" s="179"/>
      <c r="C38" s="179"/>
      <c r="D38" s="179"/>
      <c r="E38" s="179"/>
      <c r="F38" s="179"/>
      <c r="G38" s="179"/>
      <c r="H38" s="179"/>
      <c r="I38" s="179"/>
      <c r="J38" s="179"/>
      <c r="K38" s="179"/>
      <c r="L38" s="179"/>
      <c r="M38" s="179"/>
      <c r="N38" s="179"/>
      <c r="O38" s="179"/>
      <c r="P38" s="179"/>
      <c r="Q38" s="179"/>
      <c r="R38" s="63"/>
      <c r="S38" s="64"/>
    </row>
    <row r="39" spans="1:19" s="93" customFormat="1" ht="19.5" customHeight="1" x14ac:dyDescent="0.2">
      <c r="A39" s="174" t="s">
        <v>45</v>
      </c>
      <c r="B39" s="174"/>
      <c r="C39" s="174"/>
      <c r="D39" s="174"/>
      <c r="E39" s="174"/>
      <c r="F39" s="174"/>
      <c r="G39" s="174"/>
      <c r="H39" s="174"/>
      <c r="I39" s="174"/>
      <c r="J39" s="174"/>
      <c r="K39" s="87"/>
      <c r="L39" s="88" t="s">
        <v>23</v>
      </c>
      <c r="M39" s="83"/>
      <c r="N39" s="89" t="s">
        <v>24</v>
      </c>
      <c r="O39" s="83"/>
      <c r="P39" s="90"/>
      <c r="Q39" s="87"/>
      <c r="R39" s="91"/>
      <c r="S39" s="92"/>
    </row>
    <row r="40" spans="1:19" s="65" customFormat="1" ht="13.5" customHeight="1" x14ac:dyDescent="0.25">
      <c r="A40" s="66"/>
      <c r="B40" s="66"/>
      <c r="C40" s="66"/>
      <c r="D40" s="66"/>
      <c r="E40" s="66"/>
      <c r="F40" s="66"/>
      <c r="G40" s="66"/>
      <c r="H40" s="66"/>
      <c r="I40" s="66"/>
      <c r="J40" s="66"/>
      <c r="K40" s="66"/>
      <c r="L40" s="66"/>
      <c r="M40" s="66"/>
      <c r="N40" s="82"/>
      <c r="O40" s="66"/>
      <c r="Q40" s="66"/>
      <c r="R40" s="63"/>
      <c r="S40" s="64"/>
    </row>
    <row r="41" spans="1:19" s="65" customFormat="1" ht="15" customHeight="1" x14ac:dyDescent="0.25">
      <c r="A41" s="168" t="s">
        <v>44</v>
      </c>
      <c r="B41" s="168"/>
      <c r="C41" s="168"/>
      <c r="D41" s="168"/>
      <c r="E41" s="168"/>
      <c r="F41" s="168"/>
      <c r="G41" s="168"/>
      <c r="H41" s="168"/>
      <c r="I41" s="168"/>
      <c r="J41" s="168"/>
      <c r="K41" s="168"/>
      <c r="L41" s="168"/>
      <c r="M41" s="168"/>
      <c r="N41" s="168"/>
      <c r="O41" s="168"/>
      <c r="P41" s="168"/>
      <c r="Q41" s="168"/>
      <c r="R41" s="63"/>
      <c r="S41" s="64"/>
    </row>
    <row r="42" spans="1:19" ht="15.75" customHeight="1" x14ac:dyDescent="0.2">
      <c r="A42" s="204"/>
      <c r="B42" s="205"/>
      <c r="C42" s="205"/>
      <c r="D42" s="205"/>
      <c r="E42" s="205"/>
      <c r="F42" s="205"/>
      <c r="G42" s="205"/>
      <c r="H42" s="205"/>
      <c r="I42" s="205"/>
      <c r="J42" s="205"/>
      <c r="K42" s="205"/>
      <c r="L42" s="205"/>
      <c r="M42" s="205"/>
      <c r="N42" s="205"/>
      <c r="O42" s="205"/>
      <c r="P42" s="205"/>
      <c r="Q42" s="206"/>
    </row>
    <row r="43" spans="1:19" ht="15.75" customHeight="1" x14ac:dyDescent="0.2">
      <c r="A43" s="195"/>
      <c r="B43" s="196"/>
      <c r="C43" s="196"/>
      <c r="D43" s="196"/>
      <c r="E43" s="196"/>
      <c r="F43" s="196"/>
      <c r="G43" s="196"/>
      <c r="H43" s="196"/>
      <c r="I43" s="196"/>
      <c r="J43" s="196"/>
      <c r="K43" s="196"/>
      <c r="L43" s="196"/>
      <c r="M43" s="196"/>
      <c r="N43" s="196"/>
      <c r="O43" s="196"/>
      <c r="P43" s="196"/>
      <c r="Q43" s="197"/>
    </row>
    <row r="44" spans="1:19" ht="15.75" customHeight="1" x14ac:dyDescent="0.2">
      <c r="A44" s="195"/>
      <c r="B44" s="196"/>
      <c r="C44" s="196"/>
      <c r="D44" s="196"/>
      <c r="E44" s="196"/>
      <c r="F44" s="196"/>
      <c r="G44" s="196"/>
      <c r="H44" s="196"/>
      <c r="I44" s="196"/>
      <c r="J44" s="196"/>
      <c r="K44" s="196"/>
      <c r="L44" s="196"/>
      <c r="M44" s="196"/>
      <c r="N44" s="196"/>
      <c r="O44" s="196"/>
      <c r="P44" s="196"/>
      <c r="Q44" s="197"/>
    </row>
    <row r="45" spans="1:19" ht="15.75" customHeight="1" x14ac:dyDescent="0.2">
      <c r="A45" s="195"/>
      <c r="B45" s="196"/>
      <c r="C45" s="196"/>
      <c r="D45" s="196"/>
      <c r="E45" s="196"/>
      <c r="F45" s="196"/>
      <c r="G45" s="196"/>
      <c r="H45" s="196"/>
      <c r="I45" s="196"/>
      <c r="J45" s="196"/>
      <c r="K45" s="196"/>
      <c r="L45" s="196"/>
      <c r="M45" s="196"/>
      <c r="N45" s="196"/>
      <c r="O45" s="196"/>
      <c r="P45" s="196"/>
      <c r="Q45" s="197"/>
    </row>
    <row r="46" spans="1:19" ht="15.75" customHeight="1" x14ac:dyDescent="0.2">
      <c r="A46" s="198"/>
      <c r="B46" s="199"/>
      <c r="C46" s="199"/>
      <c r="D46" s="199"/>
      <c r="E46" s="199"/>
      <c r="F46" s="199"/>
      <c r="G46" s="199"/>
      <c r="H46" s="199"/>
      <c r="I46" s="199"/>
      <c r="J46" s="199"/>
      <c r="K46" s="199"/>
      <c r="L46" s="199"/>
      <c r="M46" s="199"/>
      <c r="N46" s="199"/>
      <c r="O46" s="199"/>
      <c r="P46" s="199"/>
      <c r="Q46" s="200"/>
    </row>
    <row r="47" spans="1:19" ht="42" customHeight="1" x14ac:dyDescent="0.25">
      <c r="A47" s="51" t="s">
        <v>87</v>
      </c>
      <c r="B47" s="51"/>
      <c r="C47" s="51"/>
      <c r="D47" s="51"/>
      <c r="E47" s="51"/>
      <c r="F47" s="67"/>
      <c r="G47" s="67"/>
      <c r="H47" s="67"/>
      <c r="I47" s="67"/>
      <c r="J47" s="67"/>
      <c r="K47" s="68"/>
      <c r="L47" s="178"/>
      <c r="M47" s="178"/>
      <c r="N47" s="178"/>
      <c r="O47" s="178"/>
      <c r="P47" s="178"/>
      <c r="Q47" s="178"/>
      <c r="R47" s="7"/>
    </row>
    <row r="48" spans="1:19" ht="15.75" customHeight="1" x14ac:dyDescent="0.25">
      <c r="A48" s="51"/>
      <c r="B48" s="51"/>
      <c r="C48" s="51"/>
      <c r="D48" s="51"/>
      <c r="E48" s="51"/>
      <c r="F48" s="51"/>
      <c r="G48" s="51"/>
      <c r="H48" s="51"/>
      <c r="I48" s="51"/>
      <c r="J48" s="51"/>
      <c r="K48" s="12"/>
      <c r="L48" s="69"/>
      <c r="M48" s="69"/>
      <c r="N48" s="69"/>
      <c r="O48" s="69"/>
      <c r="P48" s="69"/>
      <c r="Q48" s="69"/>
      <c r="R48" s="7"/>
    </row>
    <row r="49" spans="1:18" ht="24" customHeight="1" x14ac:dyDescent="0.25">
      <c r="A49" s="51" t="s">
        <v>88</v>
      </c>
      <c r="B49" s="51"/>
      <c r="C49" s="51"/>
      <c r="D49" s="51"/>
      <c r="E49" s="51"/>
      <c r="F49" s="67"/>
      <c r="G49" s="67"/>
      <c r="H49" s="67"/>
      <c r="I49" s="67"/>
      <c r="J49" s="67"/>
      <c r="K49" s="68"/>
      <c r="L49" s="178"/>
      <c r="M49" s="178"/>
      <c r="N49" s="178"/>
      <c r="O49" s="178"/>
      <c r="P49" s="178"/>
      <c r="Q49" s="178"/>
      <c r="R49" s="7"/>
    </row>
    <row r="50" spans="1:18" x14ac:dyDescent="0.25">
      <c r="A50" s="7"/>
      <c r="B50" s="7"/>
      <c r="C50" s="7"/>
      <c r="D50" s="7"/>
      <c r="E50" s="7"/>
      <c r="F50" s="7"/>
      <c r="G50" s="7"/>
      <c r="H50" s="7"/>
      <c r="I50" s="7"/>
      <c r="J50" s="7"/>
      <c r="K50" s="70"/>
      <c r="L50" s="7"/>
      <c r="M50" s="7"/>
      <c r="N50" s="7"/>
      <c r="O50" s="7"/>
      <c r="P50" s="7"/>
      <c r="Q50" s="7"/>
      <c r="R50" s="7"/>
    </row>
    <row r="51" spans="1:18" ht="12.75" customHeight="1" x14ac:dyDescent="0.25">
      <c r="A51" s="81" t="s">
        <v>89</v>
      </c>
      <c r="B51" s="71"/>
      <c r="C51" s="71"/>
      <c r="D51" s="71"/>
      <c r="E51" s="71"/>
      <c r="F51" s="71"/>
      <c r="G51" s="71"/>
      <c r="H51" s="71"/>
      <c r="I51" s="71"/>
      <c r="J51" s="71"/>
      <c r="K51" s="72"/>
      <c r="L51" s="7"/>
      <c r="M51" s="7"/>
      <c r="N51" s="7"/>
      <c r="O51" s="7"/>
      <c r="P51" s="7"/>
      <c r="Q51" s="7"/>
      <c r="R51" s="7"/>
    </row>
    <row r="52" spans="1:18" ht="12.75" customHeight="1" x14ac:dyDescent="0.25">
      <c r="A52" s="81" t="s">
        <v>15</v>
      </c>
      <c r="B52" s="71"/>
      <c r="C52" s="71"/>
      <c r="D52" s="71"/>
      <c r="E52" s="71"/>
      <c r="F52" s="71"/>
      <c r="G52" s="71"/>
      <c r="H52" s="71"/>
      <c r="I52" s="71"/>
      <c r="J52" s="71"/>
      <c r="K52" s="72"/>
      <c r="L52" s="7"/>
      <c r="M52" s="7"/>
      <c r="N52" s="7"/>
      <c r="O52" s="7"/>
      <c r="P52" s="7"/>
      <c r="Q52" s="7"/>
      <c r="R52" s="7"/>
    </row>
    <row r="53" spans="1:18" ht="6" customHeight="1" x14ac:dyDescent="0.25">
      <c r="A53" s="7"/>
      <c r="B53" s="7"/>
      <c r="C53" s="7"/>
      <c r="D53" s="7"/>
      <c r="E53" s="7"/>
      <c r="F53" s="7"/>
      <c r="G53" s="7"/>
      <c r="H53" s="7"/>
      <c r="I53" s="7"/>
      <c r="J53" s="7"/>
      <c r="K53" s="70"/>
      <c r="L53" s="7"/>
      <c r="M53" s="7"/>
      <c r="N53" s="7"/>
      <c r="O53" s="7"/>
      <c r="P53" s="7"/>
      <c r="Q53" s="7"/>
      <c r="R53" s="7"/>
    </row>
    <row r="54" spans="1:18" ht="12.75" customHeight="1" x14ac:dyDescent="0.25">
      <c r="A54" s="25" t="s">
        <v>79</v>
      </c>
      <c r="B54" s="25"/>
      <c r="C54" s="25"/>
      <c r="D54" s="25"/>
      <c r="E54" s="25"/>
      <c r="F54" s="25"/>
      <c r="G54" s="25"/>
      <c r="H54" s="25"/>
      <c r="I54" s="25"/>
      <c r="J54" s="25"/>
      <c r="K54" s="70"/>
      <c r="L54" s="7"/>
      <c r="M54" s="7"/>
      <c r="N54" s="7"/>
      <c r="O54" s="7"/>
      <c r="P54" s="7"/>
      <c r="Q54" s="7"/>
      <c r="R54" s="7"/>
    </row>
    <row r="55" spans="1:18" x14ac:dyDescent="0.25">
      <c r="A55" s="7"/>
      <c r="B55" s="7"/>
      <c r="C55" s="7"/>
      <c r="D55" s="7"/>
      <c r="E55" s="7"/>
      <c r="F55" s="7"/>
      <c r="G55" s="7"/>
      <c r="H55" s="7"/>
      <c r="I55" s="7"/>
      <c r="J55" s="7"/>
      <c r="K55" s="70"/>
      <c r="L55" s="7"/>
      <c r="M55" s="7"/>
      <c r="N55" s="7"/>
      <c r="O55" s="7"/>
      <c r="P55" s="7"/>
      <c r="Q55" s="7"/>
      <c r="R55" s="7"/>
    </row>
  </sheetData>
  <mergeCells count="63">
    <mergeCell ref="A44:Q44"/>
    <mergeCell ref="A45:Q45"/>
    <mergeCell ref="A46:Q46"/>
    <mergeCell ref="A18:Q18"/>
    <mergeCell ref="A15:Q15"/>
    <mergeCell ref="N19:O20"/>
    <mergeCell ref="N21:O22"/>
    <mergeCell ref="N23:O24"/>
    <mergeCell ref="N25:O26"/>
    <mergeCell ref="L21:M21"/>
    <mergeCell ref="L22:M22"/>
    <mergeCell ref="L23:M23"/>
    <mergeCell ref="L24:M24"/>
    <mergeCell ref="L25:M25"/>
    <mergeCell ref="A42:Q42"/>
    <mergeCell ref="A43:Q43"/>
    <mergeCell ref="N14:Q14"/>
    <mergeCell ref="P21:P22"/>
    <mergeCell ref="A29:P29"/>
    <mergeCell ref="L26:M26"/>
    <mergeCell ref="P19:P20"/>
    <mergeCell ref="N16:O17"/>
    <mergeCell ref="A6:Q6"/>
    <mergeCell ref="L49:Q49"/>
    <mergeCell ref="A38:Q38"/>
    <mergeCell ref="P23:P24"/>
    <mergeCell ref="P25:P26"/>
    <mergeCell ref="Q23:Q24"/>
    <mergeCell ref="P16:P17"/>
    <mergeCell ref="B9:Q9"/>
    <mergeCell ref="L47:Q47"/>
    <mergeCell ref="Q25:Q26"/>
    <mergeCell ref="A16:J17"/>
    <mergeCell ref="A19:J20"/>
    <mergeCell ref="A21:J22"/>
    <mergeCell ref="Q16:Q17"/>
    <mergeCell ref="Q19:Q20"/>
    <mergeCell ref="L16:M16"/>
    <mergeCell ref="A41:Q41"/>
    <mergeCell ref="A31:E31"/>
    <mergeCell ref="A33:E33"/>
    <mergeCell ref="L34:N34"/>
    <mergeCell ref="L35:N35"/>
    <mergeCell ref="L36:N36"/>
    <mergeCell ref="G31:H31"/>
    <mergeCell ref="G33:H33"/>
    <mergeCell ref="A39:J39"/>
    <mergeCell ref="N8:Q8"/>
    <mergeCell ref="B10:Q10"/>
    <mergeCell ref="B11:Q11"/>
    <mergeCell ref="N28:P28"/>
    <mergeCell ref="L13:M13"/>
    <mergeCell ref="L20:M20"/>
    <mergeCell ref="A13:J13"/>
    <mergeCell ref="Q21:Q22"/>
    <mergeCell ref="A28:J28"/>
    <mergeCell ref="B8:M8"/>
    <mergeCell ref="N13:O13"/>
    <mergeCell ref="A23:J24"/>
    <mergeCell ref="A25:J26"/>
    <mergeCell ref="L17:M17"/>
    <mergeCell ref="L19:M19"/>
    <mergeCell ref="L28:M28"/>
  </mergeCells>
  <phoneticPr fontId="0" type="noConversion"/>
  <conditionalFormatting sqref="L28">
    <cfRule type="expression" dxfId="0" priority="3" stopIfTrue="1">
      <formula>$L$28=100%</formula>
    </cfRule>
  </conditionalFormatting>
  <printOptions horizontalCentered="1"/>
  <pageMargins left="0.39370078740157483" right="0.39370078740157483" top="0.39370078740157483" bottom="0.59055118110236227" header="0.39370078740157483" footer="0.39370078740157483"/>
  <pageSetup paperSize="9" scale="74" orientation="portrait" r:id="rId1"/>
  <headerFooter alignWithMargins="0">
    <oddFooter>&amp;L&amp;"Calibri Light,Normal"&amp;8Date d'impression: &amp;D&amp;C&amp;"Calibri Light,Normal"&amp;9p. &amp;P/&amp;N&amp;R&amp;"Calibri Light,Normal"&amp;8&amp;F</oddFooter>
  </headerFooter>
  <rowBreaks count="1" manualBreakCount="1">
    <brk id="5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9" r:id="rId4" name="Drop Down 5">
              <controlPr defaultSize="0" autoLine="0" autoPict="0" altText="">
                <anchor moveWithCells="1">
                  <from>
                    <xdr:col>13</xdr:col>
                    <xdr:colOff>352425</xdr:colOff>
                    <xdr:row>7</xdr:row>
                    <xdr:rowOff>9525</xdr:rowOff>
                  </from>
                  <to>
                    <xdr:col>15</xdr:col>
                    <xdr:colOff>504825</xdr:colOff>
                    <xdr:row>7</xdr:row>
                    <xdr:rowOff>238125</xdr:rowOff>
                  </to>
                </anchor>
              </controlPr>
            </control>
          </mc:Choice>
        </mc:AlternateContent>
        <mc:AlternateContent xmlns:mc="http://schemas.openxmlformats.org/markup-compatibility/2006">
          <mc:Choice Requires="x14">
            <control shapeId="1030" r:id="rId5" name="Drop Down 6">
              <controlPr defaultSize="0" autoLine="0" autoPict="0" altText="Filière">
                <anchor moveWithCells="1">
                  <from>
                    <xdr:col>15</xdr:col>
                    <xdr:colOff>504825</xdr:colOff>
                    <xdr:row>7</xdr:row>
                    <xdr:rowOff>9525</xdr:rowOff>
                  </from>
                  <to>
                    <xdr:col>16</xdr:col>
                    <xdr:colOff>685800</xdr:colOff>
                    <xdr:row>7</xdr:row>
                    <xdr:rowOff>238125</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4</xdr:col>
                    <xdr:colOff>266700</xdr:colOff>
                    <xdr:row>30</xdr:row>
                    <xdr:rowOff>28575</xdr:rowOff>
                  </from>
                  <to>
                    <xdr:col>6</xdr:col>
                    <xdr:colOff>0</xdr:colOff>
                    <xdr:row>31</xdr:row>
                    <xdr:rowOff>66675</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4</xdr:col>
                    <xdr:colOff>266700</xdr:colOff>
                    <xdr:row>31</xdr:row>
                    <xdr:rowOff>142875</xdr:rowOff>
                  </from>
                  <to>
                    <xdr:col>6</xdr:col>
                    <xdr:colOff>0</xdr:colOff>
                    <xdr:row>32</xdr:row>
                    <xdr:rowOff>180975</xdr:rowOff>
                  </to>
                </anchor>
              </controlPr>
            </control>
          </mc:Choice>
        </mc:AlternateContent>
        <mc:AlternateContent xmlns:mc="http://schemas.openxmlformats.org/markup-compatibility/2006">
          <mc:Choice Requires="x14">
            <control shapeId="1038" r:id="rId8" name="Option Button 14">
              <controlPr defaultSize="0" autoFill="0" autoLine="0" autoPict="0">
                <anchor moveWithCells="1">
                  <from>
                    <xdr:col>11</xdr:col>
                    <xdr:colOff>485775</xdr:colOff>
                    <xdr:row>38</xdr:row>
                    <xdr:rowOff>19050</xdr:rowOff>
                  </from>
                  <to>
                    <xdr:col>12</xdr:col>
                    <xdr:colOff>276225</xdr:colOff>
                    <xdr:row>38</xdr:row>
                    <xdr:rowOff>238125</xdr:rowOff>
                  </to>
                </anchor>
              </controlPr>
            </control>
          </mc:Choice>
        </mc:AlternateContent>
        <mc:AlternateContent xmlns:mc="http://schemas.openxmlformats.org/markup-compatibility/2006">
          <mc:Choice Requires="x14">
            <control shapeId="1039" r:id="rId9" name="Option Button 15">
              <controlPr defaultSize="0" autoFill="0" autoLine="0" autoPict="0">
                <anchor moveWithCells="1">
                  <from>
                    <xdr:col>14</xdr:col>
                    <xdr:colOff>95250</xdr:colOff>
                    <xdr:row>38</xdr:row>
                    <xdr:rowOff>19050</xdr:rowOff>
                  </from>
                  <to>
                    <xdr:col>15</xdr:col>
                    <xdr:colOff>85725</xdr:colOff>
                    <xdr:row>38</xdr:row>
                    <xdr:rowOff>238125</xdr:rowOff>
                  </to>
                </anchor>
              </controlPr>
            </control>
          </mc:Choice>
        </mc:AlternateContent>
      </controls>
    </mc:Choice>
  </mc:AlternateContent>
  <extLst>
    <ext xmlns:mx="http://schemas.microsoft.com/office/mac/excel/2008/main" uri="{64002731-A6B0-56B0-2670-7721B7C09600}">
      <mx:PLV Mode="1" OnePage="0" WScale="81"/>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theme="6" tint="0.39997558519241921"/>
  </sheetPr>
  <dimension ref="A1:D80"/>
  <sheetViews>
    <sheetView zoomScale="145" zoomScaleNormal="145" zoomScaleSheetLayoutView="90" zoomScalePageLayoutView="115" workbookViewId="0">
      <selection activeCell="C10" sqref="C10:D13"/>
    </sheetView>
  </sheetViews>
  <sheetFormatPr baseColWidth="10" defaultColWidth="11.42578125" defaultRowHeight="12.75" x14ac:dyDescent="0.2"/>
  <cols>
    <col min="1" max="1" width="24.28515625" style="94" customWidth="1"/>
    <col min="2" max="2" width="47.7109375" style="94" customWidth="1"/>
    <col min="3" max="4" width="8.7109375" style="94" customWidth="1"/>
    <col min="5" max="16384" width="11.42578125" style="94"/>
  </cols>
  <sheetData>
    <row r="1" spans="1:4" ht="21" customHeight="1" x14ac:dyDescent="0.2">
      <c r="D1" s="95" t="s">
        <v>25</v>
      </c>
    </row>
    <row r="2" spans="1:4" ht="87" customHeight="1" x14ac:dyDescent="0.3">
      <c r="A2" s="207" t="s">
        <v>91</v>
      </c>
      <c r="B2" s="208"/>
      <c r="C2" s="208"/>
      <c r="D2" s="208"/>
    </row>
    <row r="3" spans="1:4" ht="20.25" customHeight="1" x14ac:dyDescent="0.2"/>
    <row r="4" spans="1:4" ht="15.75" customHeight="1" x14ac:dyDescent="0.2">
      <c r="A4" s="97" t="s">
        <v>82</v>
      </c>
      <c r="B4" s="215" t="str">
        <f>'Grille d''évaluation'!$B$8:$M$8</f>
        <v>Prénom Nom</v>
      </c>
      <c r="C4" s="215"/>
      <c r="D4" s="215"/>
    </row>
    <row r="5" spans="1:4" ht="30.75" customHeight="1" x14ac:dyDescent="0.2">
      <c r="A5" s="121" t="s">
        <v>26</v>
      </c>
      <c r="B5" s="216" t="str">
        <f>'Grille d''évaluation'!$B$9:$M$9</f>
        <v>Titre</v>
      </c>
      <c r="C5" s="216"/>
      <c r="D5" s="216"/>
    </row>
    <row r="6" spans="1:4" ht="15" x14ac:dyDescent="0.2">
      <c r="A6" s="97" t="s">
        <v>83</v>
      </c>
      <c r="B6" s="215" t="str">
        <f>'Grille d''évaluation'!$B$10:$M$10</f>
        <v>Prénom Nom</v>
      </c>
      <c r="C6" s="215"/>
      <c r="D6" s="215"/>
    </row>
    <row r="7" spans="1:4" ht="15" x14ac:dyDescent="0.2">
      <c r="A7" s="97" t="s">
        <v>84</v>
      </c>
      <c r="B7" s="215" t="str">
        <f>'Grille d''évaluation'!$B$11:$M$11</f>
        <v>Prénom Nom</v>
      </c>
      <c r="C7" s="215"/>
      <c r="D7" s="215"/>
    </row>
    <row r="8" spans="1:4" ht="21.75" customHeight="1" x14ac:dyDescent="0.2"/>
    <row r="9" spans="1:4" s="100" customFormat="1" ht="23.1" customHeight="1" x14ac:dyDescent="0.2">
      <c r="A9" s="100" t="s">
        <v>49</v>
      </c>
      <c r="C9" s="103" t="s">
        <v>65</v>
      </c>
      <c r="D9" s="107" t="s">
        <v>66</v>
      </c>
    </row>
    <row r="10" spans="1:4" s="99" customFormat="1" ht="15" customHeight="1" x14ac:dyDescent="0.2">
      <c r="A10" s="124" t="s">
        <v>50</v>
      </c>
      <c r="B10" s="125"/>
      <c r="C10" s="209"/>
      <c r="D10" s="214">
        <v>4</v>
      </c>
    </row>
    <row r="11" spans="1:4" x14ac:dyDescent="0.2">
      <c r="A11" s="210"/>
      <c r="B11" s="211"/>
      <c r="C11" s="209"/>
      <c r="D11" s="214"/>
    </row>
    <row r="12" spans="1:4" x14ac:dyDescent="0.2">
      <c r="A12" s="210"/>
      <c r="B12" s="211"/>
      <c r="C12" s="209"/>
      <c r="D12" s="214"/>
    </row>
    <row r="13" spans="1:4" x14ac:dyDescent="0.2">
      <c r="A13" s="212"/>
      <c r="B13" s="213"/>
      <c r="C13" s="209"/>
      <c r="D13" s="214"/>
    </row>
    <row r="14" spans="1:4" s="99" customFormat="1" ht="15" customHeight="1" x14ac:dyDescent="0.2">
      <c r="A14" s="124" t="s">
        <v>51</v>
      </c>
      <c r="B14" s="125"/>
      <c r="C14" s="209"/>
      <c r="D14" s="214">
        <v>4</v>
      </c>
    </row>
    <row r="15" spans="1:4" x14ac:dyDescent="0.2">
      <c r="A15" s="210"/>
      <c r="B15" s="211"/>
      <c r="C15" s="209"/>
      <c r="D15" s="214"/>
    </row>
    <row r="16" spans="1:4" x14ac:dyDescent="0.2">
      <c r="A16" s="210"/>
      <c r="B16" s="211"/>
      <c r="C16" s="209"/>
      <c r="D16" s="214"/>
    </row>
    <row r="17" spans="1:4" x14ac:dyDescent="0.2">
      <c r="A17" s="212"/>
      <c r="B17" s="213"/>
      <c r="C17" s="209"/>
      <c r="D17" s="214"/>
    </row>
    <row r="18" spans="1:4" s="99" customFormat="1" ht="15" customHeight="1" x14ac:dyDescent="0.2">
      <c r="A18" s="124" t="s">
        <v>52</v>
      </c>
      <c r="B18" s="125"/>
      <c r="C18" s="209"/>
      <c r="D18" s="214">
        <v>4</v>
      </c>
    </row>
    <row r="19" spans="1:4" x14ac:dyDescent="0.2">
      <c r="A19" s="210"/>
      <c r="B19" s="211"/>
      <c r="C19" s="209"/>
      <c r="D19" s="214"/>
    </row>
    <row r="20" spans="1:4" x14ac:dyDescent="0.2">
      <c r="A20" s="210"/>
      <c r="B20" s="211"/>
      <c r="C20" s="209"/>
      <c r="D20" s="214"/>
    </row>
    <row r="21" spans="1:4" x14ac:dyDescent="0.2">
      <c r="A21" s="212"/>
      <c r="B21" s="213"/>
      <c r="C21" s="209"/>
      <c r="D21" s="214"/>
    </row>
    <row r="22" spans="1:4" s="99" customFormat="1" ht="15" customHeight="1" x14ac:dyDescent="0.2">
      <c r="A22" s="124" t="s">
        <v>53</v>
      </c>
      <c r="B22" s="125"/>
      <c r="C22" s="209"/>
      <c r="D22" s="214">
        <v>4</v>
      </c>
    </row>
    <row r="23" spans="1:4" x14ac:dyDescent="0.2">
      <c r="A23" s="210"/>
      <c r="B23" s="211"/>
      <c r="C23" s="209"/>
      <c r="D23" s="214"/>
    </row>
    <row r="24" spans="1:4" x14ac:dyDescent="0.2">
      <c r="A24" s="210"/>
      <c r="B24" s="211"/>
      <c r="C24" s="209"/>
      <c r="D24" s="214"/>
    </row>
    <row r="25" spans="1:4" x14ac:dyDescent="0.2">
      <c r="A25" s="212"/>
      <c r="B25" s="213"/>
      <c r="C25" s="209"/>
      <c r="D25" s="214"/>
    </row>
    <row r="26" spans="1:4" s="99" customFormat="1" ht="15" customHeight="1" x14ac:dyDescent="0.2">
      <c r="A26" s="124" t="s">
        <v>54</v>
      </c>
      <c r="B26" s="125"/>
      <c r="C26" s="209"/>
      <c r="D26" s="214">
        <v>4</v>
      </c>
    </row>
    <row r="27" spans="1:4" x14ac:dyDescent="0.2">
      <c r="A27" s="210"/>
      <c r="B27" s="211"/>
      <c r="C27" s="209"/>
      <c r="D27" s="214"/>
    </row>
    <row r="28" spans="1:4" x14ac:dyDescent="0.2">
      <c r="A28" s="210"/>
      <c r="B28" s="211"/>
      <c r="C28" s="209"/>
      <c r="D28" s="214"/>
    </row>
    <row r="29" spans="1:4" x14ac:dyDescent="0.2">
      <c r="A29" s="212"/>
      <c r="B29" s="213"/>
      <c r="C29" s="209"/>
      <c r="D29" s="214"/>
    </row>
    <row r="30" spans="1:4" s="99" customFormat="1" ht="15" customHeight="1" x14ac:dyDescent="0.2">
      <c r="A30" s="222" t="s">
        <v>62</v>
      </c>
      <c r="B30" s="223"/>
      <c r="C30" s="223"/>
      <c r="D30" s="224"/>
    </row>
    <row r="31" spans="1:4" x14ac:dyDescent="0.2">
      <c r="A31" s="210"/>
      <c r="B31" s="220"/>
      <c r="C31" s="220"/>
      <c r="D31" s="211"/>
    </row>
    <row r="32" spans="1:4" x14ac:dyDescent="0.2">
      <c r="A32" s="210"/>
      <c r="B32" s="220"/>
      <c r="C32" s="220"/>
      <c r="D32" s="211"/>
    </row>
    <row r="33" spans="1:4" x14ac:dyDescent="0.2">
      <c r="A33" s="210"/>
      <c r="B33" s="220"/>
      <c r="C33" s="220"/>
      <c r="D33" s="211"/>
    </row>
    <row r="34" spans="1:4" x14ac:dyDescent="0.2">
      <c r="A34" s="210"/>
      <c r="B34" s="220"/>
      <c r="C34" s="220"/>
      <c r="D34" s="211"/>
    </row>
    <row r="35" spans="1:4" x14ac:dyDescent="0.2">
      <c r="A35" s="210"/>
      <c r="B35" s="220"/>
      <c r="C35" s="220"/>
      <c r="D35" s="211"/>
    </row>
    <row r="36" spans="1:4" x14ac:dyDescent="0.2">
      <c r="A36" s="212"/>
      <c r="B36" s="221"/>
      <c r="C36" s="221"/>
      <c r="D36" s="213"/>
    </row>
    <row r="37" spans="1:4" ht="8.1" customHeight="1" x14ac:dyDescent="0.2">
      <c r="D37" s="105"/>
    </row>
    <row r="38" spans="1:4" ht="33" customHeight="1" x14ac:dyDescent="0.2">
      <c r="D38" s="105"/>
    </row>
    <row r="39" spans="1:4" s="101" customFormat="1" ht="23.1" customHeight="1" x14ac:dyDescent="0.2">
      <c r="A39" s="101" t="s">
        <v>55</v>
      </c>
      <c r="C39" s="103" t="s">
        <v>65</v>
      </c>
      <c r="D39" s="107" t="s">
        <v>66</v>
      </c>
    </row>
    <row r="40" spans="1:4" s="99" customFormat="1" ht="15" customHeight="1" x14ac:dyDescent="0.2">
      <c r="A40" s="124" t="s">
        <v>56</v>
      </c>
      <c r="B40" s="125"/>
      <c r="C40" s="209"/>
      <c r="D40" s="214">
        <v>4</v>
      </c>
    </row>
    <row r="41" spans="1:4" x14ac:dyDescent="0.2">
      <c r="A41" s="210"/>
      <c r="B41" s="211"/>
      <c r="C41" s="209"/>
      <c r="D41" s="214"/>
    </row>
    <row r="42" spans="1:4" x14ac:dyDescent="0.2">
      <c r="A42" s="210"/>
      <c r="B42" s="211"/>
      <c r="C42" s="209"/>
      <c r="D42" s="214"/>
    </row>
    <row r="43" spans="1:4" x14ac:dyDescent="0.2">
      <c r="A43" s="212"/>
      <c r="B43" s="213"/>
      <c r="C43" s="209"/>
      <c r="D43" s="214"/>
    </row>
    <row r="44" spans="1:4" s="99" customFormat="1" ht="15" customHeight="1" x14ac:dyDescent="0.2">
      <c r="A44" s="124" t="s">
        <v>57</v>
      </c>
      <c r="B44" s="125"/>
      <c r="C44" s="209"/>
      <c r="D44" s="214">
        <v>4</v>
      </c>
    </row>
    <row r="45" spans="1:4" x14ac:dyDescent="0.2">
      <c r="A45" s="210"/>
      <c r="B45" s="211"/>
      <c r="C45" s="209"/>
      <c r="D45" s="214"/>
    </row>
    <row r="46" spans="1:4" x14ac:dyDescent="0.2">
      <c r="A46" s="210"/>
      <c r="B46" s="211"/>
      <c r="C46" s="209"/>
      <c r="D46" s="214"/>
    </row>
    <row r="47" spans="1:4" x14ac:dyDescent="0.2">
      <c r="A47" s="212"/>
      <c r="B47" s="213"/>
      <c r="C47" s="209"/>
      <c r="D47" s="214"/>
    </row>
    <row r="48" spans="1:4" s="99" customFormat="1" ht="15" customHeight="1" x14ac:dyDescent="0.2">
      <c r="A48" s="124" t="s">
        <v>58</v>
      </c>
      <c r="B48" s="125"/>
      <c r="C48" s="209"/>
      <c r="D48" s="214">
        <v>4</v>
      </c>
    </row>
    <row r="49" spans="1:4" x14ac:dyDescent="0.2">
      <c r="A49" s="210"/>
      <c r="B49" s="211"/>
      <c r="C49" s="209"/>
      <c r="D49" s="214"/>
    </row>
    <row r="50" spans="1:4" x14ac:dyDescent="0.2">
      <c r="A50" s="210"/>
      <c r="B50" s="211"/>
      <c r="C50" s="209"/>
      <c r="D50" s="214"/>
    </row>
    <row r="51" spans="1:4" x14ac:dyDescent="0.2">
      <c r="A51" s="212"/>
      <c r="B51" s="213"/>
      <c r="C51" s="209"/>
      <c r="D51" s="214"/>
    </row>
    <row r="52" spans="1:4" s="99" customFormat="1" ht="15" customHeight="1" x14ac:dyDescent="0.2">
      <c r="A52" s="124" t="s">
        <v>59</v>
      </c>
      <c r="B52" s="125"/>
      <c r="C52" s="209"/>
      <c r="D52" s="214">
        <v>5</v>
      </c>
    </row>
    <row r="53" spans="1:4" x14ac:dyDescent="0.2">
      <c r="A53" s="210"/>
      <c r="B53" s="211"/>
      <c r="C53" s="209"/>
      <c r="D53" s="214"/>
    </row>
    <row r="54" spans="1:4" x14ac:dyDescent="0.2">
      <c r="A54" s="210"/>
      <c r="B54" s="211"/>
      <c r="C54" s="209"/>
      <c r="D54" s="214"/>
    </row>
    <row r="55" spans="1:4" x14ac:dyDescent="0.2">
      <c r="A55" s="212"/>
      <c r="B55" s="213"/>
      <c r="C55" s="209"/>
      <c r="D55" s="214"/>
    </row>
    <row r="56" spans="1:4" s="99" customFormat="1" ht="15" customHeight="1" x14ac:dyDescent="0.2">
      <c r="A56" s="124" t="s">
        <v>60</v>
      </c>
      <c r="B56" s="125"/>
      <c r="C56" s="209"/>
      <c r="D56" s="214">
        <v>4</v>
      </c>
    </row>
    <row r="57" spans="1:4" x14ac:dyDescent="0.2">
      <c r="A57" s="210"/>
      <c r="B57" s="211"/>
      <c r="C57" s="209"/>
      <c r="D57" s="214"/>
    </row>
    <row r="58" spans="1:4" x14ac:dyDescent="0.2">
      <c r="A58" s="210"/>
      <c r="B58" s="211"/>
      <c r="C58" s="209"/>
      <c r="D58" s="214"/>
    </row>
    <row r="59" spans="1:4" x14ac:dyDescent="0.2">
      <c r="A59" s="212"/>
      <c r="B59" s="213"/>
      <c r="C59" s="209"/>
      <c r="D59" s="214"/>
    </row>
    <row r="60" spans="1:4" s="99" customFormat="1" ht="15" customHeight="1" x14ac:dyDescent="0.2">
      <c r="A60" s="124" t="s">
        <v>93</v>
      </c>
      <c r="B60" s="125"/>
      <c r="C60" s="209"/>
      <c r="D60" s="214">
        <v>4</v>
      </c>
    </row>
    <row r="61" spans="1:4" x14ac:dyDescent="0.2">
      <c r="A61" s="210"/>
      <c r="B61" s="211"/>
      <c r="C61" s="209"/>
      <c r="D61" s="214"/>
    </row>
    <row r="62" spans="1:4" x14ac:dyDescent="0.2">
      <c r="A62" s="210"/>
      <c r="B62" s="211"/>
      <c r="C62" s="209"/>
      <c r="D62" s="214"/>
    </row>
    <row r="63" spans="1:4" x14ac:dyDescent="0.2">
      <c r="A63" s="212"/>
      <c r="B63" s="213"/>
      <c r="C63" s="209"/>
      <c r="D63" s="214"/>
    </row>
    <row r="64" spans="1:4" s="99" customFormat="1" ht="15" customHeight="1" x14ac:dyDescent="0.2">
      <c r="A64" s="124" t="s">
        <v>61</v>
      </c>
      <c r="B64" s="125"/>
      <c r="C64" s="209"/>
      <c r="D64" s="214">
        <v>5</v>
      </c>
    </row>
    <row r="65" spans="1:4" x14ac:dyDescent="0.2">
      <c r="A65" s="210"/>
      <c r="B65" s="211"/>
      <c r="C65" s="209"/>
      <c r="D65" s="214"/>
    </row>
    <row r="66" spans="1:4" x14ac:dyDescent="0.2">
      <c r="A66" s="210"/>
      <c r="B66" s="211"/>
      <c r="C66" s="218"/>
      <c r="D66" s="219"/>
    </row>
    <row r="67" spans="1:4" x14ac:dyDescent="0.2">
      <c r="A67" s="212"/>
      <c r="B67" s="213"/>
      <c r="C67" s="218"/>
      <c r="D67" s="219"/>
    </row>
    <row r="68" spans="1:4" s="99" customFormat="1" ht="15" customHeight="1" x14ac:dyDescent="0.2">
      <c r="A68" s="222" t="s">
        <v>62</v>
      </c>
      <c r="B68" s="223"/>
      <c r="C68" s="223"/>
      <c r="D68" s="224"/>
    </row>
    <row r="69" spans="1:4" x14ac:dyDescent="0.2">
      <c r="A69" s="210"/>
      <c r="B69" s="220"/>
      <c r="C69" s="220"/>
      <c r="D69" s="211"/>
    </row>
    <row r="70" spans="1:4" x14ac:dyDescent="0.2">
      <c r="A70" s="210"/>
      <c r="B70" s="220"/>
      <c r="C70" s="220"/>
      <c r="D70" s="211"/>
    </row>
    <row r="71" spans="1:4" x14ac:dyDescent="0.2">
      <c r="A71" s="210"/>
      <c r="B71" s="220"/>
      <c r="C71" s="220"/>
      <c r="D71" s="211"/>
    </row>
    <row r="72" spans="1:4" x14ac:dyDescent="0.2">
      <c r="A72" s="210"/>
      <c r="B72" s="220"/>
      <c r="C72" s="220"/>
      <c r="D72" s="211"/>
    </row>
    <row r="73" spans="1:4" x14ac:dyDescent="0.2">
      <c r="A73" s="210"/>
      <c r="B73" s="220"/>
      <c r="C73" s="220"/>
      <c r="D73" s="211"/>
    </row>
    <row r="74" spans="1:4" x14ac:dyDescent="0.2">
      <c r="A74" s="212"/>
      <c r="B74" s="221"/>
      <c r="C74" s="221"/>
      <c r="D74" s="213"/>
    </row>
    <row r="75" spans="1:4" ht="8.1" customHeight="1" x14ac:dyDescent="0.2"/>
    <row r="76" spans="1:4" s="99" customFormat="1" x14ac:dyDescent="0.2">
      <c r="A76" s="99" t="s">
        <v>63</v>
      </c>
      <c r="C76" s="99">
        <f>SUM(C10:C29,C40:C67)</f>
        <v>0</v>
      </c>
      <c r="D76" s="104">
        <f>SUM(D10:D29,D40:D67)</f>
        <v>50</v>
      </c>
    </row>
    <row r="77" spans="1:4" x14ac:dyDescent="0.2">
      <c r="A77" s="94" t="s">
        <v>64</v>
      </c>
      <c r="C77" s="94">
        <v>10</v>
      </c>
      <c r="D77" s="105">
        <v>10</v>
      </c>
    </row>
    <row r="78" spans="1:4" s="102" customFormat="1" ht="15" x14ac:dyDescent="0.2">
      <c r="A78" s="102" t="s">
        <v>68</v>
      </c>
      <c r="C78" s="102">
        <f>SUM(C76:C77)</f>
        <v>10</v>
      </c>
      <c r="D78" s="106">
        <f>SUM(D76:D77)</f>
        <v>60</v>
      </c>
    </row>
    <row r="80" spans="1:4" ht="24.95" customHeight="1" x14ac:dyDescent="0.2">
      <c r="A80" s="109" t="s">
        <v>67</v>
      </c>
      <c r="B80" s="217"/>
      <c r="C80" s="217"/>
      <c r="D80" s="217"/>
    </row>
  </sheetData>
  <mergeCells count="80">
    <mergeCell ref="A35:D35"/>
    <mergeCell ref="A36:D36"/>
    <mergeCell ref="A68:D68"/>
    <mergeCell ref="A58:B58"/>
    <mergeCell ref="A62:B62"/>
    <mergeCell ref="A66:B66"/>
    <mergeCell ref="D40:D43"/>
    <mergeCell ref="C44:C47"/>
    <mergeCell ref="D44:D47"/>
    <mergeCell ref="C48:C51"/>
    <mergeCell ref="A65:B65"/>
    <mergeCell ref="A67:B67"/>
    <mergeCell ref="A57:B57"/>
    <mergeCell ref="A47:B47"/>
    <mergeCell ref="A61:B61"/>
    <mergeCell ref="A63:B63"/>
    <mergeCell ref="A30:D30"/>
    <mergeCell ref="A31:D31"/>
    <mergeCell ref="A32:D32"/>
    <mergeCell ref="A33:D33"/>
    <mergeCell ref="A34:D34"/>
    <mergeCell ref="A12:B12"/>
    <mergeCell ref="A16:B16"/>
    <mergeCell ref="A20:B20"/>
    <mergeCell ref="A24:B24"/>
    <mergeCell ref="A28:B28"/>
    <mergeCell ref="B80:D80"/>
    <mergeCell ref="A42:B42"/>
    <mergeCell ref="A46:B46"/>
    <mergeCell ref="A50:B50"/>
    <mergeCell ref="A54:B54"/>
    <mergeCell ref="D56:D59"/>
    <mergeCell ref="C60:C63"/>
    <mergeCell ref="D60:D63"/>
    <mergeCell ref="C64:C67"/>
    <mergeCell ref="D64:D67"/>
    <mergeCell ref="A69:D69"/>
    <mergeCell ref="A72:D72"/>
    <mergeCell ref="A70:D70"/>
    <mergeCell ref="A73:D73"/>
    <mergeCell ref="A74:D74"/>
    <mergeCell ref="A71:D71"/>
    <mergeCell ref="C18:C21"/>
    <mergeCell ref="D18:D21"/>
    <mergeCell ref="C26:C29"/>
    <mergeCell ref="D26:D29"/>
    <mergeCell ref="C22:C25"/>
    <mergeCell ref="D22:D25"/>
    <mergeCell ref="A29:B29"/>
    <mergeCell ref="B4:D4"/>
    <mergeCell ref="B5:D5"/>
    <mergeCell ref="B6:D6"/>
    <mergeCell ref="B7:D7"/>
    <mergeCell ref="A11:B11"/>
    <mergeCell ref="A17:B17"/>
    <mergeCell ref="A19:B19"/>
    <mergeCell ref="A21:B21"/>
    <mergeCell ref="A23:B23"/>
    <mergeCell ref="A25:B25"/>
    <mergeCell ref="A27:B27"/>
    <mergeCell ref="C10:C13"/>
    <mergeCell ref="D10:D13"/>
    <mergeCell ref="D14:D17"/>
    <mergeCell ref="C14:C17"/>
    <mergeCell ref="A2:D2"/>
    <mergeCell ref="C56:C59"/>
    <mergeCell ref="A41:B41"/>
    <mergeCell ref="A43:B43"/>
    <mergeCell ref="A45:B45"/>
    <mergeCell ref="C40:C43"/>
    <mergeCell ref="A13:B13"/>
    <mergeCell ref="A15:B15"/>
    <mergeCell ref="A59:B59"/>
    <mergeCell ref="A49:B49"/>
    <mergeCell ref="A51:B51"/>
    <mergeCell ref="A53:B53"/>
    <mergeCell ref="A55:B55"/>
    <mergeCell ref="D48:D51"/>
    <mergeCell ref="C52:C55"/>
    <mergeCell ref="D52:D55"/>
  </mergeCells>
  <printOptions horizontalCentered="1"/>
  <pageMargins left="0.39370078740157483" right="0.39370078740157483" top="0.39370078740157483" bottom="0.59055118110236227" header="0.39370078740157483" footer="0.39370078740157483"/>
  <pageSetup paperSize="9" fitToHeight="2" orientation="portrait" r:id="rId1"/>
  <headerFooter alignWithMargins="0">
    <oddFooter>&amp;L&amp;"Calibri Light,Normal"&amp;8Date d'impression: &amp;D&amp;C&amp;"Calibri Light,Normal"&amp;9p. &amp;P/&amp;N&amp;R&amp;"Calibri Light,Normal"&amp;8&amp;A</oddFooter>
  </headerFooter>
  <rowBreaks count="1" manualBreakCount="1">
    <brk id="37"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theme="6" tint="0.39997558519241921"/>
  </sheetPr>
  <dimension ref="A1:D80"/>
  <sheetViews>
    <sheetView zoomScale="145" zoomScaleNormal="145" zoomScaleSheetLayoutView="90" zoomScalePageLayoutView="115" workbookViewId="0">
      <selection activeCell="C10" sqref="C10:D13"/>
    </sheetView>
  </sheetViews>
  <sheetFormatPr baseColWidth="10" defaultColWidth="11.42578125" defaultRowHeight="12.75" x14ac:dyDescent="0.2"/>
  <cols>
    <col min="1" max="1" width="24.28515625" style="94" customWidth="1"/>
    <col min="2" max="2" width="47.7109375" style="94" customWidth="1"/>
    <col min="3" max="4" width="8.7109375" style="94" customWidth="1"/>
    <col min="5" max="16384" width="11.42578125" style="94"/>
  </cols>
  <sheetData>
    <row r="1" spans="1:4" ht="21" customHeight="1" x14ac:dyDescent="0.2">
      <c r="D1" s="95" t="s">
        <v>25</v>
      </c>
    </row>
    <row r="2" spans="1:4" ht="87" customHeight="1" x14ac:dyDescent="0.3">
      <c r="A2" s="207" t="s">
        <v>92</v>
      </c>
      <c r="B2" s="208"/>
      <c r="C2" s="208"/>
      <c r="D2" s="208"/>
    </row>
    <row r="3" spans="1:4" ht="20.25" customHeight="1" x14ac:dyDescent="0.2"/>
    <row r="4" spans="1:4" ht="15.75" customHeight="1" x14ac:dyDescent="0.2">
      <c r="A4" s="97" t="s">
        <v>82</v>
      </c>
      <c r="B4" s="215" t="str">
        <f>'Grille d''évaluation'!$B$8:$M$8</f>
        <v>Prénom Nom</v>
      </c>
      <c r="C4" s="215"/>
      <c r="D4" s="215"/>
    </row>
    <row r="5" spans="1:4" ht="29.25" customHeight="1" x14ac:dyDescent="0.2">
      <c r="A5" s="121" t="s">
        <v>26</v>
      </c>
      <c r="B5" s="216" t="str">
        <f>'Grille d''évaluation'!$B$9:$M$9</f>
        <v>Titre</v>
      </c>
      <c r="C5" s="216"/>
      <c r="D5" s="216"/>
    </row>
    <row r="6" spans="1:4" ht="15" x14ac:dyDescent="0.2">
      <c r="A6" s="97" t="s">
        <v>83</v>
      </c>
      <c r="B6" s="215" t="str">
        <f>'Grille d''évaluation'!$B$10:$M$10</f>
        <v>Prénom Nom</v>
      </c>
      <c r="C6" s="215"/>
      <c r="D6" s="215"/>
    </row>
    <row r="7" spans="1:4" ht="15" x14ac:dyDescent="0.2">
      <c r="A7" s="97" t="s">
        <v>84</v>
      </c>
      <c r="B7" s="215" t="str">
        <f>'Grille d''évaluation'!$B$11:$M$11</f>
        <v>Prénom Nom</v>
      </c>
      <c r="C7" s="215"/>
      <c r="D7" s="215"/>
    </row>
    <row r="8" spans="1:4" ht="21.75" customHeight="1" x14ac:dyDescent="0.2"/>
    <row r="9" spans="1:4" s="100" customFormat="1" ht="23.1" customHeight="1" x14ac:dyDescent="0.2">
      <c r="A9" s="100" t="s">
        <v>49</v>
      </c>
      <c r="C9" s="103" t="s">
        <v>65</v>
      </c>
      <c r="D9" s="107" t="s">
        <v>66</v>
      </c>
    </row>
    <row r="10" spans="1:4" s="99" customFormat="1" ht="15" customHeight="1" x14ac:dyDescent="0.2">
      <c r="A10" s="115" t="s">
        <v>50</v>
      </c>
      <c r="B10" s="116"/>
      <c r="C10" s="209"/>
      <c r="D10" s="214">
        <v>4</v>
      </c>
    </row>
    <row r="11" spans="1:4" x14ac:dyDescent="0.2">
      <c r="A11" s="210"/>
      <c r="B11" s="211"/>
      <c r="C11" s="209"/>
      <c r="D11" s="214"/>
    </row>
    <row r="12" spans="1:4" x14ac:dyDescent="0.2">
      <c r="A12" s="210"/>
      <c r="B12" s="211"/>
      <c r="C12" s="209"/>
      <c r="D12" s="214"/>
    </row>
    <row r="13" spans="1:4" x14ac:dyDescent="0.2">
      <c r="A13" s="212"/>
      <c r="B13" s="213"/>
      <c r="C13" s="209"/>
      <c r="D13" s="214"/>
    </row>
    <row r="14" spans="1:4" s="99" customFormat="1" ht="15" customHeight="1" x14ac:dyDescent="0.2">
      <c r="A14" s="115" t="s">
        <v>51</v>
      </c>
      <c r="B14" s="116"/>
      <c r="C14" s="209"/>
      <c r="D14" s="214">
        <v>4</v>
      </c>
    </row>
    <row r="15" spans="1:4" x14ac:dyDescent="0.2">
      <c r="A15" s="210"/>
      <c r="B15" s="211"/>
      <c r="C15" s="209"/>
      <c r="D15" s="214"/>
    </row>
    <row r="16" spans="1:4" x14ac:dyDescent="0.2">
      <c r="A16" s="210"/>
      <c r="B16" s="211"/>
      <c r="C16" s="209"/>
      <c r="D16" s="214"/>
    </row>
    <row r="17" spans="1:4" x14ac:dyDescent="0.2">
      <c r="A17" s="212"/>
      <c r="B17" s="213"/>
      <c r="C17" s="209"/>
      <c r="D17" s="214"/>
    </row>
    <row r="18" spans="1:4" s="99" customFormat="1" ht="15" customHeight="1" x14ac:dyDescent="0.2">
      <c r="A18" s="115" t="s">
        <v>52</v>
      </c>
      <c r="B18" s="116"/>
      <c r="C18" s="209"/>
      <c r="D18" s="214">
        <v>4</v>
      </c>
    </row>
    <row r="19" spans="1:4" x14ac:dyDescent="0.2">
      <c r="A19" s="210"/>
      <c r="B19" s="211"/>
      <c r="C19" s="209"/>
      <c r="D19" s="214"/>
    </row>
    <row r="20" spans="1:4" x14ac:dyDescent="0.2">
      <c r="A20" s="210"/>
      <c r="B20" s="211"/>
      <c r="C20" s="209"/>
      <c r="D20" s="214"/>
    </row>
    <row r="21" spans="1:4" x14ac:dyDescent="0.2">
      <c r="A21" s="212"/>
      <c r="B21" s="213"/>
      <c r="C21" s="209"/>
      <c r="D21" s="214"/>
    </row>
    <row r="22" spans="1:4" s="99" customFormat="1" ht="15" customHeight="1" x14ac:dyDescent="0.2">
      <c r="A22" s="115" t="s">
        <v>53</v>
      </c>
      <c r="B22" s="116"/>
      <c r="C22" s="209"/>
      <c r="D22" s="214">
        <v>4</v>
      </c>
    </row>
    <row r="23" spans="1:4" x14ac:dyDescent="0.2">
      <c r="A23" s="210"/>
      <c r="B23" s="211"/>
      <c r="C23" s="209"/>
      <c r="D23" s="214"/>
    </row>
    <row r="24" spans="1:4" x14ac:dyDescent="0.2">
      <c r="A24" s="210"/>
      <c r="B24" s="211"/>
      <c r="C24" s="209"/>
      <c r="D24" s="214"/>
    </row>
    <row r="25" spans="1:4" x14ac:dyDescent="0.2">
      <c r="A25" s="212"/>
      <c r="B25" s="213"/>
      <c r="C25" s="209"/>
      <c r="D25" s="214"/>
    </row>
    <row r="26" spans="1:4" s="99" customFormat="1" ht="15" customHeight="1" x14ac:dyDescent="0.2">
      <c r="A26" s="115" t="s">
        <v>54</v>
      </c>
      <c r="B26" s="116"/>
      <c r="C26" s="209"/>
      <c r="D26" s="214">
        <v>4</v>
      </c>
    </row>
    <row r="27" spans="1:4" x14ac:dyDescent="0.2">
      <c r="A27" s="210"/>
      <c r="B27" s="211"/>
      <c r="C27" s="209"/>
      <c r="D27" s="214"/>
    </row>
    <row r="28" spans="1:4" x14ac:dyDescent="0.2">
      <c r="A28" s="210"/>
      <c r="B28" s="211"/>
      <c r="C28" s="209"/>
      <c r="D28" s="214"/>
    </row>
    <row r="29" spans="1:4" x14ac:dyDescent="0.2">
      <c r="A29" s="212"/>
      <c r="B29" s="213"/>
      <c r="C29" s="209"/>
      <c r="D29" s="214"/>
    </row>
    <row r="30" spans="1:4" s="99" customFormat="1" ht="15" customHeight="1" x14ac:dyDescent="0.2">
      <c r="A30" s="225" t="s">
        <v>62</v>
      </c>
      <c r="B30" s="226"/>
      <c r="C30" s="226"/>
      <c r="D30" s="227"/>
    </row>
    <row r="31" spans="1:4" x14ac:dyDescent="0.2">
      <c r="A31" s="210"/>
      <c r="B31" s="220"/>
      <c r="C31" s="220"/>
      <c r="D31" s="211"/>
    </row>
    <row r="32" spans="1:4" x14ac:dyDescent="0.2">
      <c r="A32" s="210"/>
      <c r="B32" s="220"/>
      <c r="C32" s="220"/>
      <c r="D32" s="211"/>
    </row>
    <row r="33" spans="1:4" x14ac:dyDescent="0.2">
      <c r="A33" s="210"/>
      <c r="B33" s="220"/>
      <c r="C33" s="220"/>
      <c r="D33" s="211"/>
    </row>
    <row r="34" spans="1:4" x14ac:dyDescent="0.2">
      <c r="A34" s="210"/>
      <c r="B34" s="220"/>
      <c r="C34" s="220"/>
      <c r="D34" s="211"/>
    </row>
    <row r="35" spans="1:4" x14ac:dyDescent="0.2">
      <c r="A35" s="210"/>
      <c r="B35" s="220"/>
      <c r="C35" s="220"/>
      <c r="D35" s="211"/>
    </row>
    <row r="36" spans="1:4" x14ac:dyDescent="0.2">
      <c r="A36" s="212"/>
      <c r="B36" s="221"/>
      <c r="C36" s="221"/>
      <c r="D36" s="213"/>
    </row>
    <row r="37" spans="1:4" ht="8.1" customHeight="1" x14ac:dyDescent="0.2">
      <c r="D37" s="105"/>
    </row>
    <row r="38" spans="1:4" ht="33" customHeight="1" x14ac:dyDescent="0.2">
      <c r="D38" s="105"/>
    </row>
    <row r="39" spans="1:4" s="101" customFormat="1" ht="23.1" customHeight="1" x14ac:dyDescent="0.2">
      <c r="A39" s="101" t="s">
        <v>55</v>
      </c>
      <c r="C39" s="103" t="s">
        <v>65</v>
      </c>
      <c r="D39" s="107" t="s">
        <v>66</v>
      </c>
    </row>
    <row r="40" spans="1:4" s="99" customFormat="1" ht="15" customHeight="1" x14ac:dyDescent="0.2">
      <c r="A40" s="115" t="s">
        <v>56</v>
      </c>
      <c r="B40" s="116"/>
      <c r="C40" s="209"/>
      <c r="D40" s="214">
        <v>4</v>
      </c>
    </row>
    <row r="41" spans="1:4" x14ac:dyDescent="0.2">
      <c r="A41" s="210"/>
      <c r="B41" s="211"/>
      <c r="C41" s="209"/>
      <c r="D41" s="214"/>
    </row>
    <row r="42" spans="1:4" x14ac:dyDescent="0.2">
      <c r="A42" s="210"/>
      <c r="B42" s="211"/>
      <c r="C42" s="209"/>
      <c r="D42" s="214"/>
    </row>
    <row r="43" spans="1:4" x14ac:dyDescent="0.2">
      <c r="A43" s="212"/>
      <c r="B43" s="213"/>
      <c r="C43" s="209"/>
      <c r="D43" s="214"/>
    </row>
    <row r="44" spans="1:4" s="99" customFormat="1" ht="15" customHeight="1" x14ac:dyDescent="0.2">
      <c r="A44" s="115" t="s">
        <v>57</v>
      </c>
      <c r="B44" s="116"/>
      <c r="C44" s="209"/>
      <c r="D44" s="214">
        <v>4</v>
      </c>
    </row>
    <row r="45" spans="1:4" x14ac:dyDescent="0.2">
      <c r="A45" s="210"/>
      <c r="B45" s="211"/>
      <c r="C45" s="209"/>
      <c r="D45" s="214"/>
    </row>
    <row r="46" spans="1:4" x14ac:dyDescent="0.2">
      <c r="A46" s="210"/>
      <c r="B46" s="211"/>
      <c r="C46" s="209"/>
      <c r="D46" s="214"/>
    </row>
    <row r="47" spans="1:4" x14ac:dyDescent="0.2">
      <c r="A47" s="212"/>
      <c r="B47" s="213"/>
      <c r="C47" s="209"/>
      <c r="D47" s="214"/>
    </row>
    <row r="48" spans="1:4" s="99" customFormat="1" ht="15" customHeight="1" x14ac:dyDescent="0.2">
      <c r="A48" s="115" t="s">
        <v>58</v>
      </c>
      <c r="B48" s="116"/>
      <c r="C48" s="209"/>
      <c r="D48" s="214">
        <v>4</v>
      </c>
    </row>
    <row r="49" spans="1:4" x14ac:dyDescent="0.2">
      <c r="A49" s="210"/>
      <c r="B49" s="211"/>
      <c r="C49" s="209"/>
      <c r="D49" s="214"/>
    </row>
    <row r="50" spans="1:4" x14ac:dyDescent="0.2">
      <c r="A50" s="210"/>
      <c r="B50" s="211"/>
      <c r="C50" s="209"/>
      <c r="D50" s="214"/>
    </row>
    <row r="51" spans="1:4" x14ac:dyDescent="0.2">
      <c r="A51" s="212"/>
      <c r="B51" s="213"/>
      <c r="C51" s="209"/>
      <c r="D51" s="214"/>
    </row>
    <row r="52" spans="1:4" s="99" customFormat="1" ht="15" customHeight="1" x14ac:dyDescent="0.2">
      <c r="A52" s="115" t="s">
        <v>59</v>
      </c>
      <c r="B52" s="116"/>
      <c r="C52" s="209"/>
      <c r="D52" s="214">
        <v>5</v>
      </c>
    </row>
    <row r="53" spans="1:4" x14ac:dyDescent="0.2">
      <c r="A53" s="210"/>
      <c r="B53" s="211"/>
      <c r="C53" s="209"/>
      <c r="D53" s="214"/>
    </row>
    <row r="54" spans="1:4" x14ac:dyDescent="0.2">
      <c r="A54" s="210"/>
      <c r="B54" s="211"/>
      <c r="C54" s="209"/>
      <c r="D54" s="214"/>
    </row>
    <row r="55" spans="1:4" x14ac:dyDescent="0.2">
      <c r="A55" s="212"/>
      <c r="B55" s="213"/>
      <c r="C55" s="209"/>
      <c r="D55" s="214"/>
    </row>
    <row r="56" spans="1:4" s="99" customFormat="1" ht="15" customHeight="1" x14ac:dyDescent="0.2">
      <c r="A56" s="115" t="s">
        <v>60</v>
      </c>
      <c r="B56" s="116"/>
      <c r="C56" s="209"/>
      <c r="D56" s="214">
        <v>4</v>
      </c>
    </row>
    <row r="57" spans="1:4" x14ac:dyDescent="0.2">
      <c r="A57" s="210"/>
      <c r="B57" s="211"/>
      <c r="C57" s="209"/>
      <c r="D57" s="214"/>
    </row>
    <row r="58" spans="1:4" x14ac:dyDescent="0.2">
      <c r="A58" s="210"/>
      <c r="B58" s="211"/>
      <c r="C58" s="209"/>
      <c r="D58" s="214"/>
    </row>
    <row r="59" spans="1:4" x14ac:dyDescent="0.2">
      <c r="A59" s="212"/>
      <c r="B59" s="213"/>
      <c r="C59" s="209"/>
      <c r="D59" s="214"/>
    </row>
    <row r="60" spans="1:4" s="99" customFormat="1" ht="15" customHeight="1" x14ac:dyDescent="0.2">
      <c r="A60" s="115" t="s">
        <v>93</v>
      </c>
      <c r="B60" s="116"/>
      <c r="C60" s="209"/>
      <c r="D60" s="214">
        <v>4</v>
      </c>
    </row>
    <row r="61" spans="1:4" x14ac:dyDescent="0.2">
      <c r="A61" s="210"/>
      <c r="B61" s="211"/>
      <c r="C61" s="209"/>
      <c r="D61" s="214"/>
    </row>
    <row r="62" spans="1:4" x14ac:dyDescent="0.2">
      <c r="A62" s="210"/>
      <c r="B62" s="211"/>
      <c r="C62" s="209"/>
      <c r="D62" s="214"/>
    </row>
    <row r="63" spans="1:4" x14ac:dyDescent="0.2">
      <c r="A63" s="212"/>
      <c r="B63" s="213"/>
      <c r="C63" s="209"/>
      <c r="D63" s="214"/>
    </row>
    <row r="64" spans="1:4" s="99" customFormat="1" ht="15" customHeight="1" x14ac:dyDescent="0.2">
      <c r="A64" s="115" t="s">
        <v>61</v>
      </c>
      <c r="B64" s="116"/>
      <c r="C64" s="209"/>
      <c r="D64" s="214">
        <v>5</v>
      </c>
    </row>
    <row r="65" spans="1:4" x14ac:dyDescent="0.2">
      <c r="A65" s="210"/>
      <c r="B65" s="211"/>
      <c r="C65" s="209"/>
      <c r="D65" s="214"/>
    </row>
    <row r="66" spans="1:4" x14ac:dyDescent="0.2">
      <c r="A66" s="210"/>
      <c r="B66" s="211"/>
      <c r="C66" s="218"/>
      <c r="D66" s="219"/>
    </row>
    <row r="67" spans="1:4" x14ac:dyDescent="0.2">
      <c r="A67" s="212"/>
      <c r="B67" s="213"/>
      <c r="C67" s="218"/>
      <c r="D67" s="219"/>
    </row>
    <row r="68" spans="1:4" s="99" customFormat="1" ht="15" customHeight="1" x14ac:dyDescent="0.2">
      <c r="A68" s="225" t="s">
        <v>62</v>
      </c>
      <c r="B68" s="226"/>
      <c r="C68" s="226"/>
      <c r="D68" s="227"/>
    </row>
    <row r="69" spans="1:4" x14ac:dyDescent="0.2">
      <c r="A69" s="210"/>
      <c r="B69" s="220"/>
      <c r="C69" s="220"/>
      <c r="D69" s="211"/>
    </row>
    <row r="70" spans="1:4" x14ac:dyDescent="0.2">
      <c r="A70" s="210"/>
      <c r="B70" s="220"/>
      <c r="C70" s="220"/>
      <c r="D70" s="211"/>
    </row>
    <row r="71" spans="1:4" x14ac:dyDescent="0.2">
      <c r="A71" s="210"/>
      <c r="B71" s="220"/>
      <c r="C71" s="220"/>
      <c r="D71" s="211"/>
    </row>
    <row r="72" spans="1:4" x14ac:dyDescent="0.2">
      <c r="A72" s="210"/>
      <c r="B72" s="220"/>
      <c r="C72" s="220"/>
      <c r="D72" s="211"/>
    </row>
    <row r="73" spans="1:4" x14ac:dyDescent="0.2">
      <c r="A73" s="210"/>
      <c r="B73" s="220"/>
      <c r="C73" s="220"/>
      <c r="D73" s="211"/>
    </row>
    <row r="74" spans="1:4" x14ac:dyDescent="0.2">
      <c r="A74" s="212"/>
      <c r="B74" s="221"/>
      <c r="C74" s="221"/>
      <c r="D74" s="213"/>
    </row>
    <row r="75" spans="1:4" ht="8.1" customHeight="1" x14ac:dyDescent="0.2"/>
    <row r="76" spans="1:4" s="99" customFormat="1" x14ac:dyDescent="0.2">
      <c r="A76" s="99" t="s">
        <v>63</v>
      </c>
      <c r="C76" s="99">
        <f>SUM(C10:C29,C40:C67)</f>
        <v>0</v>
      </c>
      <c r="D76" s="104">
        <f>SUM(D10:D29,D40:D67)</f>
        <v>50</v>
      </c>
    </row>
    <row r="77" spans="1:4" x14ac:dyDescent="0.2">
      <c r="A77" s="94" t="s">
        <v>64</v>
      </c>
      <c r="C77" s="94">
        <v>10</v>
      </c>
      <c r="D77" s="105">
        <v>10</v>
      </c>
    </row>
    <row r="78" spans="1:4" s="102" customFormat="1" ht="15" x14ac:dyDescent="0.2">
      <c r="A78" s="102" t="s">
        <v>68</v>
      </c>
      <c r="C78" s="102">
        <f>SUM(C76:C77)</f>
        <v>10</v>
      </c>
      <c r="D78" s="106">
        <f>SUM(D76:D77)</f>
        <v>60</v>
      </c>
    </row>
    <row r="80" spans="1:4" ht="24.95" customHeight="1" x14ac:dyDescent="0.2">
      <c r="A80" s="109" t="s">
        <v>67</v>
      </c>
      <c r="B80" s="217"/>
      <c r="C80" s="217"/>
      <c r="D80" s="217"/>
    </row>
  </sheetData>
  <mergeCells count="80">
    <mergeCell ref="A74:D74"/>
    <mergeCell ref="B80:D80"/>
    <mergeCell ref="A68:D68"/>
    <mergeCell ref="A69:D69"/>
    <mergeCell ref="A70:D70"/>
    <mergeCell ref="A71:D71"/>
    <mergeCell ref="A72:D72"/>
    <mergeCell ref="A73:D73"/>
    <mergeCell ref="C60:C63"/>
    <mergeCell ref="D60:D63"/>
    <mergeCell ref="A61:B61"/>
    <mergeCell ref="A62:B62"/>
    <mergeCell ref="A63:B63"/>
    <mergeCell ref="C64:C67"/>
    <mergeCell ref="D64:D67"/>
    <mergeCell ref="A65:B65"/>
    <mergeCell ref="A66:B66"/>
    <mergeCell ref="A67:B67"/>
    <mergeCell ref="C52:C55"/>
    <mergeCell ref="D52:D55"/>
    <mergeCell ref="A53:B53"/>
    <mergeCell ref="A54:B54"/>
    <mergeCell ref="A55:B55"/>
    <mergeCell ref="C56:C59"/>
    <mergeCell ref="D56:D59"/>
    <mergeCell ref="A57:B57"/>
    <mergeCell ref="A58:B58"/>
    <mergeCell ref="A59:B59"/>
    <mergeCell ref="C44:C47"/>
    <mergeCell ref="D44:D47"/>
    <mergeCell ref="A45:B45"/>
    <mergeCell ref="A46:B46"/>
    <mergeCell ref="A47:B47"/>
    <mergeCell ref="C48:C51"/>
    <mergeCell ref="D48:D51"/>
    <mergeCell ref="A49:B49"/>
    <mergeCell ref="A50:B50"/>
    <mergeCell ref="A51:B51"/>
    <mergeCell ref="A36:D36"/>
    <mergeCell ref="C40:C43"/>
    <mergeCell ref="D40:D43"/>
    <mergeCell ref="A41:B41"/>
    <mergeCell ref="A42:B42"/>
    <mergeCell ref="A43:B43"/>
    <mergeCell ref="A35:D35"/>
    <mergeCell ref="C22:C25"/>
    <mergeCell ref="D22:D25"/>
    <mergeCell ref="A23:B23"/>
    <mergeCell ref="A24:B24"/>
    <mergeCell ref="A25:B25"/>
    <mergeCell ref="C26:C29"/>
    <mergeCell ref="D26:D29"/>
    <mergeCell ref="A27:B27"/>
    <mergeCell ref="A28:B28"/>
    <mergeCell ref="A29:B29"/>
    <mergeCell ref="A30:D30"/>
    <mergeCell ref="A31:D31"/>
    <mergeCell ref="A32:D32"/>
    <mergeCell ref="A33:D33"/>
    <mergeCell ref="A34:D34"/>
    <mergeCell ref="C14:C17"/>
    <mergeCell ref="D14:D17"/>
    <mergeCell ref="A15:B15"/>
    <mergeCell ref="A16:B16"/>
    <mergeCell ref="A17:B17"/>
    <mergeCell ref="C18:C21"/>
    <mergeCell ref="D18:D21"/>
    <mergeCell ref="A19:B19"/>
    <mergeCell ref="A20:B20"/>
    <mergeCell ref="A21:B21"/>
    <mergeCell ref="A2:D2"/>
    <mergeCell ref="B4:D4"/>
    <mergeCell ref="B5:D5"/>
    <mergeCell ref="B6:D6"/>
    <mergeCell ref="B7:D7"/>
    <mergeCell ref="C10:C13"/>
    <mergeCell ref="D10:D13"/>
    <mergeCell ref="A11:B11"/>
    <mergeCell ref="A12:B12"/>
    <mergeCell ref="A13:B13"/>
  </mergeCells>
  <printOptions horizontalCentered="1"/>
  <pageMargins left="0.39370078740157483" right="0.39370078740157483" top="0.39370078740157483" bottom="0.59055118110236227" header="0.39370078740157483" footer="0.39370078740157483"/>
  <pageSetup paperSize="9" fitToHeight="2" orientation="portrait" r:id="rId1"/>
  <headerFooter alignWithMargins="0">
    <oddFooter>&amp;L&amp;"Calibri Light,Normal"&amp;8Date d'impression: &amp;D&amp;C&amp;"Calibri Light,Normal"&amp;9p. &amp;P/&amp;N&amp;R&amp;"Calibri Light,Normal"&amp;8&amp;A</oddFooter>
  </headerFooter>
  <rowBreaks count="1" manualBreakCount="1">
    <brk id="37"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tabColor theme="9" tint="0.39997558519241921"/>
  </sheetPr>
  <dimension ref="A1:C67"/>
  <sheetViews>
    <sheetView zoomScale="145" zoomScaleNormal="145" zoomScaleSheetLayoutView="90" zoomScalePageLayoutView="115" workbookViewId="0">
      <selection activeCell="C11" sqref="C11"/>
    </sheetView>
  </sheetViews>
  <sheetFormatPr baseColWidth="10" defaultColWidth="11.42578125" defaultRowHeight="12.75" x14ac:dyDescent="0.2"/>
  <cols>
    <col min="1" max="1" width="2.42578125" style="94" customWidth="1"/>
    <col min="2" max="2" width="24.28515625" style="94" customWidth="1"/>
    <col min="3" max="3" width="70.140625" style="94" customWidth="1"/>
    <col min="4" max="16384" width="11.42578125" style="94"/>
  </cols>
  <sheetData>
    <row r="1" spans="1:3" ht="21" customHeight="1" x14ac:dyDescent="0.2">
      <c r="C1" s="96" t="s">
        <v>25</v>
      </c>
    </row>
    <row r="2" spans="1:3" ht="87" customHeight="1" x14ac:dyDescent="0.3">
      <c r="A2" s="208" t="s">
        <v>71</v>
      </c>
      <c r="B2" s="208"/>
      <c r="C2" s="208"/>
    </row>
    <row r="3" spans="1:3" ht="20.25" customHeight="1" x14ac:dyDescent="0.2"/>
    <row r="4" spans="1:3" ht="15.75" customHeight="1" x14ac:dyDescent="0.2">
      <c r="A4" s="97" t="s">
        <v>82</v>
      </c>
      <c r="B4" s="97"/>
      <c r="C4" s="98" t="str">
        <f>'Grille d''évaluation'!$B$8</f>
        <v>Prénom Nom</v>
      </c>
    </row>
    <row r="5" spans="1:3" ht="30" customHeight="1" x14ac:dyDescent="0.2">
      <c r="A5" s="234" t="s">
        <v>26</v>
      </c>
      <c r="B5" s="234"/>
      <c r="C5" s="122" t="str">
        <f>'Grille d''évaluation'!$B$9</f>
        <v>Titre</v>
      </c>
    </row>
    <row r="6" spans="1:3" ht="15" x14ac:dyDescent="0.2">
      <c r="A6" s="97" t="s">
        <v>83</v>
      </c>
      <c r="B6" s="97"/>
      <c r="C6" s="98" t="str">
        <f>'Grille d''évaluation'!$B$10</f>
        <v>Prénom Nom</v>
      </c>
    </row>
    <row r="7" spans="1:3" ht="15" x14ac:dyDescent="0.2">
      <c r="A7" s="97" t="s">
        <v>84</v>
      </c>
      <c r="B7" s="97"/>
      <c r="C7" s="98" t="str">
        <f>'Grille d''évaluation'!$B$11</f>
        <v>Prénom Nom</v>
      </c>
    </row>
    <row r="8" spans="1:3" ht="21.75" customHeight="1" x14ac:dyDescent="0.2"/>
    <row r="9" spans="1:3" ht="21.75" customHeight="1" x14ac:dyDescent="0.2">
      <c r="A9" s="94" t="s">
        <v>72</v>
      </c>
      <c r="C9" s="123">
        <f>'Grille d''évaluation'!Q28</f>
        <v>0.19999999999999996</v>
      </c>
    </row>
    <row r="11" spans="1:3" ht="24.95" customHeight="1" x14ac:dyDescent="0.2">
      <c r="A11" s="109" t="s">
        <v>67</v>
      </c>
      <c r="B11" s="109"/>
      <c r="C11" s="110"/>
    </row>
    <row r="12" spans="1:3" ht="21.75" customHeight="1" x14ac:dyDescent="0.2"/>
    <row r="13" spans="1:3" ht="27" customHeight="1" x14ac:dyDescent="0.2">
      <c r="A13" s="108" t="s">
        <v>73</v>
      </c>
      <c r="B13" s="111"/>
      <c r="C13" s="112"/>
    </row>
    <row r="14" spans="1:3" x14ac:dyDescent="0.2">
      <c r="A14" s="113" t="s">
        <v>77</v>
      </c>
      <c r="B14" s="228" t="s">
        <v>74</v>
      </c>
      <c r="C14" s="229"/>
    </row>
    <row r="15" spans="1:3" ht="27" customHeight="1" x14ac:dyDescent="0.2">
      <c r="A15" s="113" t="s">
        <v>77</v>
      </c>
      <c r="B15" s="228" t="s">
        <v>107</v>
      </c>
      <c r="C15" s="229"/>
    </row>
    <row r="16" spans="1:3" x14ac:dyDescent="0.2">
      <c r="A16" s="113" t="s">
        <v>77</v>
      </c>
      <c r="B16" s="228" t="s">
        <v>75</v>
      </c>
      <c r="C16" s="229"/>
    </row>
    <row r="17" spans="1:3" ht="39.75" customHeight="1" x14ac:dyDescent="0.2">
      <c r="A17" s="113" t="s">
        <v>77</v>
      </c>
      <c r="B17" s="228" t="s">
        <v>108</v>
      </c>
      <c r="C17" s="229"/>
    </row>
    <row r="18" spans="1:3" ht="7.5" customHeight="1" x14ac:dyDescent="0.2">
      <c r="A18" s="114"/>
      <c r="B18" s="117"/>
      <c r="C18" s="118"/>
    </row>
    <row r="19" spans="1:3" ht="32.25" customHeight="1" x14ac:dyDescent="0.2"/>
    <row r="20" spans="1:3" ht="15.95" customHeight="1" x14ac:dyDescent="0.2">
      <c r="A20" s="225" t="s">
        <v>76</v>
      </c>
      <c r="B20" s="226"/>
      <c r="C20" s="227"/>
    </row>
    <row r="21" spans="1:3" ht="15.95" customHeight="1" x14ac:dyDescent="0.2">
      <c r="A21" s="210"/>
      <c r="B21" s="220"/>
      <c r="C21" s="211"/>
    </row>
    <row r="22" spans="1:3" ht="15.95" customHeight="1" x14ac:dyDescent="0.2">
      <c r="A22" s="210"/>
      <c r="B22" s="220"/>
      <c r="C22" s="211"/>
    </row>
    <row r="23" spans="1:3" ht="15.95" customHeight="1" x14ac:dyDescent="0.2">
      <c r="A23" s="210"/>
      <c r="B23" s="220"/>
      <c r="C23" s="211"/>
    </row>
    <row r="24" spans="1:3" ht="15.95" customHeight="1" x14ac:dyDescent="0.2">
      <c r="A24" s="210"/>
      <c r="B24" s="220"/>
      <c r="C24" s="211"/>
    </row>
    <row r="25" spans="1:3" ht="15.95" customHeight="1" x14ac:dyDescent="0.2">
      <c r="A25" s="210"/>
      <c r="B25" s="220"/>
      <c r="C25" s="211"/>
    </row>
    <row r="26" spans="1:3" ht="15.95" customHeight="1" x14ac:dyDescent="0.2">
      <c r="A26" s="210"/>
      <c r="B26" s="220"/>
      <c r="C26" s="211"/>
    </row>
    <row r="27" spans="1:3" ht="15.95" customHeight="1" x14ac:dyDescent="0.2">
      <c r="A27" s="210"/>
      <c r="B27" s="220"/>
      <c r="C27" s="211"/>
    </row>
    <row r="28" spans="1:3" ht="15.95" customHeight="1" x14ac:dyDescent="0.2">
      <c r="A28" s="210"/>
      <c r="B28" s="220"/>
      <c r="C28" s="211"/>
    </row>
    <row r="29" spans="1:3" ht="15.95" customHeight="1" x14ac:dyDescent="0.2">
      <c r="A29" s="210"/>
      <c r="B29" s="220"/>
      <c r="C29" s="211"/>
    </row>
    <row r="30" spans="1:3" ht="15.95" customHeight="1" x14ac:dyDescent="0.2">
      <c r="A30" s="210"/>
      <c r="B30" s="220"/>
      <c r="C30" s="211"/>
    </row>
    <row r="31" spans="1:3" ht="15.95" customHeight="1" x14ac:dyDescent="0.2">
      <c r="A31" s="212"/>
      <c r="B31" s="221"/>
      <c r="C31" s="213"/>
    </row>
    <row r="32" spans="1:3" ht="23.25" customHeight="1" x14ac:dyDescent="0.2"/>
    <row r="33" spans="1:3" ht="21" customHeight="1" x14ac:dyDescent="0.2">
      <c r="A33" s="233" t="s">
        <v>81</v>
      </c>
      <c r="B33" s="233"/>
      <c r="C33" s="233"/>
    </row>
    <row r="34" spans="1:3" ht="15.95" customHeight="1" x14ac:dyDescent="0.2">
      <c r="A34" s="230" t="s">
        <v>94</v>
      </c>
      <c r="B34" s="231"/>
      <c r="C34" s="232"/>
    </row>
    <row r="35" spans="1:3" ht="15.95" customHeight="1" x14ac:dyDescent="0.2">
      <c r="A35" s="210"/>
      <c r="B35" s="220"/>
      <c r="C35" s="211"/>
    </row>
    <row r="36" spans="1:3" ht="15.95" customHeight="1" x14ac:dyDescent="0.2">
      <c r="A36" s="210"/>
      <c r="B36" s="220"/>
      <c r="C36" s="211"/>
    </row>
    <row r="37" spans="1:3" ht="15.95" customHeight="1" x14ac:dyDescent="0.2">
      <c r="A37" s="210"/>
      <c r="B37" s="220"/>
      <c r="C37" s="211"/>
    </row>
    <row r="38" spans="1:3" ht="15.95" customHeight="1" x14ac:dyDescent="0.2">
      <c r="A38" s="210"/>
      <c r="B38" s="220"/>
      <c r="C38" s="211"/>
    </row>
    <row r="39" spans="1:3" ht="15.95" customHeight="1" x14ac:dyDescent="0.2">
      <c r="A39" s="210"/>
      <c r="B39" s="220"/>
      <c r="C39" s="211"/>
    </row>
    <row r="40" spans="1:3" ht="15.95" customHeight="1" x14ac:dyDescent="0.2">
      <c r="A40" s="210"/>
      <c r="B40" s="220"/>
      <c r="C40" s="211"/>
    </row>
    <row r="41" spans="1:3" ht="15.95" customHeight="1" x14ac:dyDescent="0.2">
      <c r="A41" s="210"/>
      <c r="B41" s="220"/>
      <c r="C41" s="211"/>
    </row>
    <row r="42" spans="1:3" ht="15.95" customHeight="1" x14ac:dyDescent="0.2">
      <c r="A42" s="210"/>
      <c r="B42" s="220"/>
      <c r="C42" s="211"/>
    </row>
    <row r="43" spans="1:3" ht="15.95" customHeight="1" x14ac:dyDescent="0.2">
      <c r="A43" s="212"/>
      <c r="B43" s="221"/>
      <c r="C43" s="213"/>
    </row>
    <row r="45" spans="1:3" ht="15.95" customHeight="1" x14ac:dyDescent="0.2">
      <c r="A45" s="230" t="s">
        <v>95</v>
      </c>
      <c r="B45" s="231"/>
      <c r="C45" s="232"/>
    </row>
    <row r="46" spans="1:3" ht="15.95" customHeight="1" x14ac:dyDescent="0.2">
      <c r="A46" s="210"/>
      <c r="B46" s="220"/>
      <c r="C46" s="211"/>
    </row>
    <row r="47" spans="1:3" ht="15.95" customHeight="1" x14ac:dyDescent="0.2">
      <c r="A47" s="210"/>
      <c r="B47" s="220"/>
      <c r="C47" s="211"/>
    </row>
    <row r="48" spans="1:3" ht="15.95" customHeight="1" x14ac:dyDescent="0.2">
      <c r="A48" s="210"/>
      <c r="B48" s="220"/>
      <c r="C48" s="211"/>
    </row>
    <row r="49" spans="1:3" ht="15.95" customHeight="1" x14ac:dyDescent="0.2">
      <c r="A49" s="210"/>
      <c r="B49" s="220"/>
      <c r="C49" s="211"/>
    </row>
    <row r="50" spans="1:3" ht="15.95" customHeight="1" x14ac:dyDescent="0.2">
      <c r="A50" s="210"/>
      <c r="B50" s="220"/>
      <c r="C50" s="211"/>
    </row>
    <row r="51" spans="1:3" ht="15.95" customHeight="1" x14ac:dyDescent="0.2">
      <c r="A51" s="210"/>
      <c r="B51" s="220"/>
      <c r="C51" s="211"/>
    </row>
    <row r="52" spans="1:3" ht="15.95" customHeight="1" x14ac:dyDescent="0.2">
      <c r="A52" s="210"/>
      <c r="B52" s="220"/>
      <c r="C52" s="211"/>
    </row>
    <row r="53" spans="1:3" ht="15.95" customHeight="1" x14ac:dyDescent="0.2">
      <c r="A53" s="210"/>
      <c r="B53" s="220"/>
      <c r="C53" s="211"/>
    </row>
    <row r="54" spans="1:3" ht="15.95" customHeight="1" x14ac:dyDescent="0.2">
      <c r="A54" s="212"/>
      <c r="B54" s="221"/>
      <c r="C54" s="213"/>
    </row>
    <row r="56" spans="1:3" ht="15.95" customHeight="1" x14ac:dyDescent="0.2">
      <c r="A56" s="230" t="s">
        <v>78</v>
      </c>
      <c r="B56" s="231"/>
      <c r="C56" s="232"/>
    </row>
    <row r="57" spans="1:3" ht="15.95" customHeight="1" x14ac:dyDescent="0.2">
      <c r="A57" s="210"/>
      <c r="B57" s="220"/>
      <c r="C57" s="211"/>
    </row>
    <row r="58" spans="1:3" ht="15.95" customHeight="1" x14ac:dyDescent="0.2">
      <c r="A58" s="210"/>
      <c r="B58" s="220"/>
      <c r="C58" s="211"/>
    </row>
    <row r="59" spans="1:3" ht="15.95" customHeight="1" x14ac:dyDescent="0.2">
      <c r="A59" s="210"/>
      <c r="B59" s="220"/>
      <c r="C59" s="211"/>
    </row>
    <row r="60" spans="1:3" ht="15.95" customHeight="1" x14ac:dyDescent="0.2">
      <c r="A60" s="210"/>
      <c r="B60" s="220"/>
      <c r="C60" s="211"/>
    </row>
    <row r="61" spans="1:3" ht="15.95" customHeight="1" x14ac:dyDescent="0.2">
      <c r="A61" s="210"/>
      <c r="B61" s="220"/>
      <c r="C61" s="211"/>
    </row>
    <row r="62" spans="1:3" ht="15.95" customHeight="1" x14ac:dyDescent="0.2">
      <c r="A62" s="210"/>
      <c r="B62" s="220"/>
      <c r="C62" s="211"/>
    </row>
    <row r="63" spans="1:3" ht="15.95" customHeight="1" x14ac:dyDescent="0.2">
      <c r="A63" s="210"/>
      <c r="B63" s="220"/>
      <c r="C63" s="211"/>
    </row>
    <row r="64" spans="1:3" ht="15.95" customHeight="1" x14ac:dyDescent="0.2">
      <c r="A64" s="210"/>
      <c r="B64" s="220"/>
      <c r="C64" s="211"/>
    </row>
    <row r="65" spans="1:3" ht="15.95" customHeight="1" x14ac:dyDescent="0.2">
      <c r="A65" s="212"/>
      <c r="B65" s="221"/>
      <c r="C65" s="213"/>
    </row>
    <row r="67" spans="1:3" x14ac:dyDescent="0.2">
      <c r="A67" s="25" t="s">
        <v>80</v>
      </c>
    </row>
  </sheetData>
  <mergeCells count="49">
    <mergeCell ref="A49:C49"/>
    <mergeCell ref="A59:C59"/>
    <mergeCell ref="A60:C60"/>
    <mergeCell ref="A58:C58"/>
    <mergeCell ref="A51:C51"/>
    <mergeCell ref="A52:C52"/>
    <mergeCell ref="A53:C53"/>
    <mergeCell ref="A54:C54"/>
    <mergeCell ref="A56:C56"/>
    <mergeCell ref="A57:C57"/>
    <mergeCell ref="A50:C50"/>
    <mergeCell ref="A61:C61"/>
    <mergeCell ref="A62:C62"/>
    <mergeCell ref="A63:C63"/>
    <mergeCell ref="A64:C64"/>
    <mergeCell ref="A65:C65"/>
    <mergeCell ref="A2:C2"/>
    <mergeCell ref="A45:C45"/>
    <mergeCell ref="A46:C46"/>
    <mergeCell ref="A38:C38"/>
    <mergeCell ref="A27:C27"/>
    <mergeCell ref="A28:C28"/>
    <mergeCell ref="A29:C29"/>
    <mergeCell ref="A30:C30"/>
    <mergeCell ref="A31:C31"/>
    <mergeCell ref="A33:C33"/>
    <mergeCell ref="A34:C34"/>
    <mergeCell ref="A35:C35"/>
    <mergeCell ref="A36:C36"/>
    <mergeCell ref="A5:B5"/>
    <mergeCell ref="A26:C26"/>
    <mergeCell ref="A22:C22"/>
    <mergeCell ref="B14:C14"/>
    <mergeCell ref="B15:C15"/>
    <mergeCell ref="B16:C16"/>
    <mergeCell ref="B17:C17"/>
    <mergeCell ref="A21:C21"/>
    <mergeCell ref="A20:C20"/>
    <mergeCell ref="A48:C48"/>
    <mergeCell ref="A23:C23"/>
    <mergeCell ref="A24:C24"/>
    <mergeCell ref="A25:C25"/>
    <mergeCell ref="A39:C39"/>
    <mergeCell ref="A40:C40"/>
    <mergeCell ref="A41:C41"/>
    <mergeCell ref="A37:C37"/>
    <mergeCell ref="A47:C47"/>
    <mergeCell ref="A42:C42"/>
    <mergeCell ref="A43:C43"/>
  </mergeCells>
  <printOptions horizontalCentered="1"/>
  <pageMargins left="0.39370078740157483" right="0.39370078740157483" top="0.39370078740157483" bottom="0.59055118110236227" header="0.39370078740157483" footer="0.39370078740157483"/>
  <pageSetup paperSize="9" fitToHeight="2" orientation="portrait" r:id="rId1"/>
  <headerFooter alignWithMargins="0">
    <oddFooter>&amp;L&amp;"Calibri Light,Normal"&amp;8Date d'impression: &amp;D&amp;C&amp;"Calibri Light,Normal"&amp;9p. &amp;P/&amp;N&amp;R&amp;"Calibri Light,Normal"&amp;8&amp;A</oddFooter>
  </headerFooter>
  <rowBreaks count="1" manualBreakCount="1">
    <brk id="31"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D11"/>
  <sheetViews>
    <sheetView workbookViewId="0"/>
  </sheetViews>
  <sheetFormatPr baseColWidth="10" defaultRowHeight="15" x14ac:dyDescent="0.25"/>
  <cols>
    <col min="1" max="1" width="8.42578125" style="78" customWidth="1"/>
    <col min="2" max="2" width="35.42578125" style="78" bestFit="1" customWidth="1"/>
    <col min="3" max="3" width="11.42578125" style="78"/>
    <col min="4" max="4" width="36.28515625" customWidth="1"/>
  </cols>
  <sheetData>
    <row r="1" spans="1:4" x14ac:dyDescent="0.25">
      <c r="A1" s="78" t="s">
        <v>27</v>
      </c>
      <c r="C1" s="78" t="s">
        <v>28</v>
      </c>
    </row>
    <row r="2" spans="1:4" x14ac:dyDescent="0.25">
      <c r="A2" s="78" t="s">
        <v>132</v>
      </c>
      <c r="B2" s="136" t="s">
        <v>115</v>
      </c>
      <c r="C2" s="78" t="s">
        <v>31</v>
      </c>
      <c r="D2" s="136" t="s">
        <v>120</v>
      </c>
    </row>
    <row r="3" spans="1:4" x14ac:dyDescent="0.25">
      <c r="A3" s="78" t="s">
        <v>131</v>
      </c>
      <c r="B3" s="136" t="s">
        <v>116</v>
      </c>
      <c r="C3" s="78" t="s">
        <v>32</v>
      </c>
      <c r="D3" s="136" t="s">
        <v>121</v>
      </c>
    </row>
    <row r="4" spans="1:4" x14ac:dyDescent="0.25">
      <c r="A4" s="78" t="s">
        <v>29</v>
      </c>
      <c r="B4" s="136" t="s">
        <v>117</v>
      </c>
      <c r="C4" s="78" t="s">
        <v>33</v>
      </c>
      <c r="D4" s="136" t="s">
        <v>122</v>
      </c>
    </row>
    <row r="5" spans="1:4" x14ac:dyDescent="0.25">
      <c r="A5" s="78" t="s">
        <v>130</v>
      </c>
      <c r="B5" s="136" t="s">
        <v>118</v>
      </c>
      <c r="C5" s="78" t="s">
        <v>34</v>
      </c>
      <c r="D5" s="136" t="s">
        <v>123</v>
      </c>
    </row>
    <row r="6" spans="1:4" x14ac:dyDescent="0.25">
      <c r="A6" s="78" t="s">
        <v>30</v>
      </c>
      <c r="B6" s="136" t="s">
        <v>119</v>
      </c>
      <c r="C6" s="78" t="s">
        <v>35</v>
      </c>
      <c r="D6" s="136" t="s">
        <v>124</v>
      </c>
    </row>
    <row r="7" spans="1:4" x14ac:dyDescent="0.25">
      <c r="C7" s="78" t="s">
        <v>36</v>
      </c>
      <c r="D7" s="136" t="s">
        <v>125</v>
      </c>
    </row>
    <row r="8" spans="1:4" x14ac:dyDescent="0.25">
      <c r="C8" s="78" t="s">
        <v>133</v>
      </c>
      <c r="D8" s="136" t="s">
        <v>134</v>
      </c>
    </row>
    <row r="9" spans="1:4" x14ac:dyDescent="0.25">
      <c r="C9" s="78" t="s">
        <v>135</v>
      </c>
      <c r="D9" s="136" t="s">
        <v>136</v>
      </c>
    </row>
    <row r="10" spans="1:4" x14ac:dyDescent="0.25">
      <c r="C10" s="78" t="s">
        <v>37</v>
      </c>
      <c r="D10" s="136" t="s">
        <v>126</v>
      </c>
    </row>
    <row r="11" spans="1:4" x14ac:dyDescent="0.25">
      <c r="C11" s="78" t="s">
        <v>38</v>
      </c>
      <c r="D11" s="136" t="s">
        <v>127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28669044CA63489F7C3BBFEDD810DB" ma:contentTypeVersion="0" ma:contentTypeDescription="Crée un document." ma:contentTypeScope="" ma:versionID="52c6abf36e50b3bbcd0260216d1f0814">
  <xsd:schema xmlns:xsd="http://www.w3.org/2001/XMLSchema" xmlns:xs="http://www.w3.org/2001/XMLSchema" xmlns:p="http://schemas.microsoft.com/office/2006/metadata/properties" targetNamespace="http://schemas.microsoft.com/office/2006/metadata/properties" ma:root="true" ma:fieldsID="8ef5eb9fa90e25b786e41f861770623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4398A-3244-403D-8C2B-C2B7A88217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A4CF81C-B1A6-46AE-A1CB-4BBD811A8631}">
  <ds:schemaRefs>
    <ds:schemaRef ds:uri="http://purl.org/dc/terms/"/>
    <ds:schemaRef ds:uri="http://schemas.microsoft.com/office/2006/documentManagement/types"/>
    <ds:schemaRef ds:uri="http://schemas.microsoft.com/office/infopath/2007/PartnerControls"/>
    <ds:schemaRef ds:uri="http://purl.org/dc/dcmitype/"/>
    <ds:schemaRef ds:uri="http://www.w3.org/XML/1998/namespace"/>
    <ds:schemaRef ds:uri="http://schemas.openxmlformats.org/package/2006/metadata/core-propertie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E0DB2EB0-F206-45B9-9E4E-5D842DAB227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2</vt:i4>
      </vt:variant>
    </vt:vector>
  </HeadingPairs>
  <TitlesOfParts>
    <vt:vector size="8" baseType="lpstr">
      <vt:lpstr>Marche à suivre</vt:lpstr>
      <vt:lpstr>Grille d'évaluation</vt:lpstr>
      <vt:lpstr>Évaluation orale Enseignant·e</vt:lpstr>
      <vt:lpstr>Évaluation orale Expert·e</vt:lpstr>
      <vt:lpstr>Protocole d'évaluation orale</vt:lpstr>
      <vt:lpstr>Acronymes</vt:lpstr>
      <vt:lpstr>'Marche à suivre'!Impression_des_titres</vt:lpstr>
      <vt:lpstr>'Grille d''évaluation'!Zone_d_impression</vt:lpstr>
    </vt:vector>
  </TitlesOfParts>
  <Company>EIVD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Valérie Bourquin</dc:creator>
  <cp:lastModifiedBy>Valérie Bourquin</cp:lastModifiedBy>
  <cp:lastPrinted>2019-08-28T09:19:23Z</cp:lastPrinted>
  <dcterms:created xsi:type="dcterms:W3CDTF">2004-02-03T07:03:09Z</dcterms:created>
  <dcterms:modified xsi:type="dcterms:W3CDTF">2020-03-06T13:15:44Z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0x0101000B28669044CA63489F7C3BBFEDD810DB</vt:lpwstr>
  </property>
</Properties>
</file>